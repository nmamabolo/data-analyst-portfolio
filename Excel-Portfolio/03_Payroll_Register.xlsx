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R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2E5496"/>
      </patternFill>
    </fill>
    <fill>
      <patternFill patternType="solid">
        <fgColor rgb="00EAF0FA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3" borderId="0" pivotButton="0" quotePrefix="0" xfId="0"/>
    <xf numFmtId="165" fontId="5" fillId="3" borderId="0" pivotButton="0" quotePrefix="0" xfId="0"/>
    <xf numFmtId="3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166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/>
    </xf>
    <xf numFmtId="166" fontId="4" fillId="5" borderId="1" applyAlignment="1" pivotButton="0" quotePrefix="0" xfId="0">
      <alignment horizontal="center" vertical="center"/>
    </xf>
    <xf numFmtId="0" fontId="3" fillId="6" borderId="2" pivotButton="0" quotePrefix="0" xfId="0"/>
    <xf numFmtId="166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Analyst</author>
  </authors>
  <commentList>
    <comment ref="B7" authorId="0" shapeId="0">
      <text>
        <t>PAYE modelled as a flat effective rate for demo purposes; production would use SARS tax tables.</t>
      </text>
    </comment>
    <comment ref="B10" authorId="0" shapeId="0">
      <text>
        <t>UIF is capped at R177.12 (1% of R17,712 ceiling).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5" customWidth="1" min="3" max="3"/>
    <col width="13" customWidth="1" min="4" max="4"/>
    <col width="9" customWidth="1" min="5" max="5"/>
    <col width="12" customWidth="1" min="6" max="6"/>
    <col width="12" customWidth="1" min="7" max="7"/>
    <col width="13" customWidth="1" min="8" max="8"/>
    <col width="12" customWidth="1" min="9" max="9"/>
    <col width="10" customWidth="1" min="10" max="10"/>
    <col width="12" customWidth="1" min="11" max="11"/>
    <col width="14" customWidth="1" min="12" max="12"/>
    <col width="14" customWidth="1" min="13" max="13"/>
  </cols>
  <sheetData>
    <row r="1" ht="30" customHeight="1">
      <c r="A1" s="1" t="inlineStr">
        <is>
          <t>Monthly Payroll Register — July 2026 (ZAR)</t>
        </is>
      </c>
    </row>
    <row r="2">
      <c r="A2" s="2" t="inlineStr">
        <is>
          <t>Statutory deductions modelled on SA conventions: PAYE, UIF (1%), Pension. Rates in the yellow assumptions box.</t>
        </is>
      </c>
    </row>
    <row r="4">
      <c r="A4" s="3" t="inlineStr">
        <is>
          <t>ASSUMPTIONS</t>
        </is>
      </c>
    </row>
    <row r="5">
      <c r="A5" s="4" t="inlineStr">
        <is>
          <t>UIF Rate</t>
        </is>
      </c>
      <c r="B5" s="5" t="n">
        <v>0.01</v>
      </c>
    </row>
    <row r="6">
      <c r="A6" s="4" t="inlineStr">
        <is>
          <t>Pension Rate</t>
        </is>
      </c>
      <c r="B6" s="5" t="n">
        <v>0.075</v>
      </c>
    </row>
    <row r="7">
      <c r="A7" s="4" t="inlineStr">
        <is>
          <t>PAYE Rate (effective)</t>
        </is>
      </c>
      <c r="B7" s="5" t="n">
        <v>0.18</v>
      </c>
    </row>
    <row r="8">
      <c r="A8" s="4" t="inlineStr">
        <is>
          <t>OT Multiplier</t>
        </is>
      </c>
      <c r="B8" s="6" t="n">
        <v>1.5</v>
      </c>
    </row>
    <row r="9">
      <c r="A9" s="4" t="inlineStr">
        <is>
          <t>Std Hours/Month</t>
        </is>
      </c>
      <c r="B9" s="7" t="n">
        <v>160</v>
      </c>
    </row>
    <row r="10">
      <c r="B10" t="n"/>
    </row>
    <row r="12" ht="30" customHeight="1">
      <c r="A12" s="8" t="inlineStr">
        <is>
          <t>Emp ID</t>
        </is>
      </c>
      <c r="B12" s="8" t="inlineStr">
        <is>
          <t>Employee Name</t>
        </is>
      </c>
      <c r="C12" s="8" t="inlineStr">
        <is>
          <t>Department</t>
        </is>
      </c>
      <c r="D12" s="8" t="inlineStr">
        <is>
          <t>Basic Salary</t>
        </is>
      </c>
      <c r="E12" s="8" t="inlineStr">
        <is>
          <t>OT Hours</t>
        </is>
      </c>
      <c r="F12" s="8" t="inlineStr">
        <is>
          <t>OT Pay</t>
        </is>
      </c>
      <c r="G12" s="8" t="inlineStr">
        <is>
          <t>Allowances</t>
        </is>
      </c>
      <c r="H12" s="8" t="inlineStr">
        <is>
          <t>Gross Pay</t>
        </is>
      </c>
      <c r="I12" s="8" t="inlineStr">
        <is>
          <t>PAYE</t>
        </is>
      </c>
      <c r="J12" s="8" t="inlineStr">
        <is>
          <t>UIF</t>
        </is>
      </c>
      <c r="K12" s="8" t="inlineStr">
        <is>
          <t>Pension</t>
        </is>
      </c>
      <c r="L12" s="8" t="inlineStr">
        <is>
          <t>Total Deductions</t>
        </is>
      </c>
      <c r="M12" s="8" t="inlineStr">
        <is>
          <t>Net Pay</t>
        </is>
      </c>
    </row>
    <row r="13">
      <c r="A13" s="9" t="inlineStr">
        <is>
          <t>EMP1001</t>
        </is>
      </c>
      <c r="B13" s="10" t="inlineStr">
        <is>
          <t>Thabo Mokoena</t>
        </is>
      </c>
      <c r="C13" s="10" t="inlineStr">
        <is>
          <t>Operations</t>
        </is>
      </c>
      <c r="D13" s="11" t="n">
        <v>14500</v>
      </c>
      <c r="E13" s="9" t="n">
        <v>0</v>
      </c>
      <c r="F13" s="11">
        <f>(D13/$B$9)*$B$8*E13</f>
        <v/>
      </c>
      <c r="G13" s="11" t="n">
        <v>1000</v>
      </c>
      <c r="H13" s="11">
        <f>D13+F13+G13</f>
        <v/>
      </c>
      <c r="I13" s="11">
        <f>D13*$B$7</f>
        <v/>
      </c>
      <c r="J13" s="11">
        <f>MIN(D13*$B$5,177.12)</f>
        <v/>
      </c>
      <c r="K13" s="11">
        <f>D13*$B$6</f>
        <v/>
      </c>
      <c r="L13" s="11">
        <f>SUM(I13:K13)</f>
        <v/>
      </c>
      <c r="M13" s="11">
        <f>H13-L13</f>
        <v/>
      </c>
    </row>
    <row r="14">
      <c r="A14" s="12" t="inlineStr">
        <is>
          <t>EMP1002</t>
        </is>
      </c>
      <c r="B14" s="13" t="inlineStr">
        <is>
          <t>Lerato Nkosi</t>
        </is>
      </c>
      <c r="C14" s="13" t="inlineStr">
        <is>
          <t>Customer Care</t>
        </is>
      </c>
      <c r="D14" s="14" t="n">
        <v>21000</v>
      </c>
      <c r="E14" s="12" t="n">
        <v>0</v>
      </c>
      <c r="F14" s="14">
        <f>(D14/$B$9)*$B$8*E14</f>
        <v/>
      </c>
      <c r="G14" s="14" t="n">
        <v>1500</v>
      </c>
      <c r="H14" s="14">
        <f>D14+F14+G14</f>
        <v/>
      </c>
      <c r="I14" s="14">
        <f>D14*$B$7</f>
        <v/>
      </c>
      <c r="J14" s="14">
        <f>MIN(D14*$B$5,177.12)</f>
        <v/>
      </c>
      <c r="K14" s="14">
        <f>D14*$B$6</f>
        <v/>
      </c>
      <c r="L14" s="14">
        <f>SUM(I14:K14)</f>
        <v/>
      </c>
      <c r="M14" s="14">
        <f>H14-L14</f>
        <v/>
      </c>
    </row>
    <row r="15">
      <c r="A15" s="9" t="inlineStr">
        <is>
          <t>EMP1003</t>
        </is>
      </c>
      <c r="B15" s="10" t="inlineStr">
        <is>
          <t>Sipho Dlamini</t>
        </is>
      </c>
      <c r="C15" s="10" t="inlineStr">
        <is>
          <t>Sales</t>
        </is>
      </c>
      <c r="D15" s="11" t="n">
        <v>21000</v>
      </c>
      <c r="E15" s="9" t="n">
        <v>8</v>
      </c>
      <c r="F15" s="11">
        <f>(D15/$B$9)*$B$8*E15</f>
        <v/>
      </c>
      <c r="G15" s="11" t="n">
        <v>500</v>
      </c>
      <c r="H15" s="11">
        <f>D15+F15+G15</f>
        <v/>
      </c>
      <c r="I15" s="11">
        <f>D15*$B$7</f>
        <v/>
      </c>
      <c r="J15" s="11">
        <f>MIN(D15*$B$5,177.12)</f>
        <v/>
      </c>
      <c r="K15" s="11">
        <f>D15*$B$6</f>
        <v/>
      </c>
      <c r="L15" s="11">
        <f>SUM(I15:K15)</f>
        <v/>
      </c>
      <c r="M15" s="11">
        <f>H15-L15</f>
        <v/>
      </c>
    </row>
    <row r="16">
      <c r="A16" s="12" t="inlineStr">
        <is>
          <t>EMP1004</t>
        </is>
      </c>
      <c r="B16" s="13" t="inlineStr">
        <is>
          <t>Naledi Molefe</t>
        </is>
      </c>
      <c r="C16" s="13" t="inlineStr">
        <is>
          <t>IT Support</t>
        </is>
      </c>
      <c r="D16" s="14" t="n">
        <v>21000</v>
      </c>
      <c r="E16" s="12" t="n">
        <v>10</v>
      </c>
      <c r="F16" s="14">
        <f>(D16/$B$9)*$B$8*E16</f>
        <v/>
      </c>
      <c r="G16" s="14" t="n">
        <v>500</v>
      </c>
      <c r="H16" s="14">
        <f>D16+F16+G16</f>
        <v/>
      </c>
      <c r="I16" s="14">
        <f>D16*$B$7</f>
        <v/>
      </c>
      <c r="J16" s="14">
        <f>MIN(D16*$B$5,177.12)</f>
        <v/>
      </c>
      <c r="K16" s="14">
        <f>D16*$B$6</f>
        <v/>
      </c>
      <c r="L16" s="14">
        <f>SUM(I16:K16)</f>
        <v/>
      </c>
      <c r="M16" s="14">
        <f>H16-L16</f>
        <v/>
      </c>
    </row>
    <row r="17">
      <c r="A17" s="9" t="inlineStr">
        <is>
          <t>EMP1005</t>
        </is>
      </c>
      <c r="B17" s="10" t="inlineStr">
        <is>
          <t>Kagiso Khumalo</t>
        </is>
      </c>
      <c r="C17" s="10" t="inlineStr">
        <is>
          <t>Admin</t>
        </is>
      </c>
      <c r="D17" s="11" t="n">
        <v>16000</v>
      </c>
      <c r="E17" s="9" t="n">
        <v>4</v>
      </c>
      <c r="F17" s="11">
        <f>(D17/$B$9)*$B$8*E17</f>
        <v/>
      </c>
      <c r="G17" s="11" t="n">
        <v>500</v>
      </c>
      <c r="H17" s="11">
        <f>D17+F17+G17</f>
        <v/>
      </c>
      <c r="I17" s="11">
        <f>D17*$B$7</f>
        <v/>
      </c>
      <c r="J17" s="11">
        <f>MIN(D17*$B$5,177.12)</f>
        <v/>
      </c>
      <c r="K17" s="11">
        <f>D17*$B$6</f>
        <v/>
      </c>
      <c r="L17" s="11">
        <f>SUM(I17:K17)</f>
        <v/>
      </c>
      <c r="M17" s="11">
        <f>H17-L17</f>
        <v/>
      </c>
    </row>
    <row r="18">
      <c r="A18" s="12" t="inlineStr">
        <is>
          <t>EMP1006</t>
        </is>
      </c>
      <c r="B18" s="13" t="inlineStr">
        <is>
          <t>Zanele Mahlangu</t>
        </is>
      </c>
      <c r="C18" s="13" t="inlineStr">
        <is>
          <t>Quality</t>
        </is>
      </c>
      <c r="D18" s="14" t="n">
        <v>14500</v>
      </c>
      <c r="E18" s="12" t="n">
        <v>10</v>
      </c>
      <c r="F18" s="14">
        <f>(D18/$B$9)*$B$8*E18</f>
        <v/>
      </c>
      <c r="G18" s="14" t="n">
        <v>750</v>
      </c>
      <c r="H18" s="14">
        <f>D18+F18+G18</f>
        <v/>
      </c>
      <c r="I18" s="14">
        <f>D18*$B$7</f>
        <v/>
      </c>
      <c r="J18" s="14">
        <f>MIN(D18*$B$5,177.12)</f>
        <v/>
      </c>
      <c r="K18" s="14">
        <f>D18*$B$6</f>
        <v/>
      </c>
      <c r="L18" s="14">
        <f>SUM(I18:K18)</f>
        <v/>
      </c>
      <c r="M18" s="14">
        <f>H18-L18</f>
        <v/>
      </c>
    </row>
    <row r="19">
      <c r="A19" s="9" t="inlineStr">
        <is>
          <t>EMP1007</t>
        </is>
      </c>
      <c r="B19" s="10" t="inlineStr">
        <is>
          <t>Tumelo Sithole</t>
        </is>
      </c>
      <c r="C19" s="10" t="inlineStr">
        <is>
          <t>Operations</t>
        </is>
      </c>
      <c r="D19" s="11" t="n">
        <v>21000</v>
      </c>
      <c r="E19" s="9" t="n">
        <v>4</v>
      </c>
      <c r="F19" s="11">
        <f>(D19/$B$9)*$B$8*E19</f>
        <v/>
      </c>
      <c r="G19" s="11" t="n">
        <v>750</v>
      </c>
      <c r="H19" s="11">
        <f>D19+F19+G19</f>
        <v/>
      </c>
      <c r="I19" s="11">
        <f>D19*$B$7</f>
        <v/>
      </c>
      <c r="J19" s="11">
        <f>MIN(D19*$B$5,177.12)</f>
        <v/>
      </c>
      <c r="K19" s="11">
        <f>D19*$B$6</f>
        <v/>
      </c>
      <c r="L19" s="11">
        <f>SUM(I19:K19)</f>
        <v/>
      </c>
      <c r="M19" s="11">
        <f>H19-L19</f>
        <v/>
      </c>
    </row>
    <row r="20">
      <c r="A20" s="12" t="inlineStr">
        <is>
          <t>EMP1008</t>
        </is>
      </c>
      <c r="B20" s="13" t="inlineStr">
        <is>
          <t>Ayanda Ndlovu</t>
        </is>
      </c>
      <c r="C20" s="13" t="inlineStr">
        <is>
          <t>Customer Care</t>
        </is>
      </c>
      <c r="D20" s="14" t="n">
        <v>24000</v>
      </c>
      <c r="E20" s="12" t="n">
        <v>0</v>
      </c>
      <c r="F20" s="14">
        <f>(D20/$B$9)*$B$8*E20</f>
        <v/>
      </c>
      <c r="G20" s="14" t="n">
        <v>1000</v>
      </c>
      <c r="H20" s="14">
        <f>D20+F20+G20</f>
        <v/>
      </c>
      <c r="I20" s="14">
        <f>D20*$B$7</f>
        <v/>
      </c>
      <c r="J20" s="14">
        <f>MIN(D20*$B$5,177.12)</f>
        <v/>
      </c>
      <c r="K20" s="14">
        <f>D20*$B$6</f>
        <v/>
      </c>
      <c r="L20" s="14">
        <f>SUM(I20:K20)</f>
        <v/>
      </c>
      <c r="M20" s="14">
        <f>H20-L20</f>
        <v/>
      </c>
    </row>
    <row r="21">
      <c r="A21" s="9" t="inlineStr">
        <is>
          <t>EMP1009</t>
        </is>
      </c>
      <c r="B21" s="10" t="inlineStr">
        <is>
          <t>Bongani Mabaso</t>
        </is>
      </c>
      <c r="C21" s="10" t="inlineStr">
        <is>
          <t>Sales</t>
        </is>
      </c>
      <c r="D21" s="11" t="n">
        <v>32000</v>
      </c>
      <c r="E21" s="9" t="n">
        <v>4</v>
      </c>
      <c r="F21" s="11">
        <f>(D21/$B$9)*$B$8*E21</f>
        <v/>
      </c>
      <c r="G21" s="11" t="n">
        <v>500</v>
      </c>
      <c r="H21" s="11">
        <f>D21+F21+G21</f>
        <v/>
      </c>
      <c r="I21" s="11">
        <f>D21*$B$7</f>
        <v/>
      </c>
      <c r="J21" s="11">
        <f>MIN(D21*$B$5,177.12)</f>
        <v/>
      </c>
      <c r="K21" s="11">
        <f>D21*$B$6</f>
        <v/>
      </c>
      <c r="L21" s="11">
        <f>SUM(I21:K21)</f>
        <v/>
      </c>
      <c r="M21" s="11">
        <f>H21-L21</f>
        <v/>
      </c>
    </row>
    <row r="22">
      <c r="A22" s="12" t="inlineStr">
        <is>
          <t>EMP1010</t>
        </is>
      </c>
      <c r="B22" s="13" t="inlineStr">
        <is>
          <t>Nomvula Zulu</t>
        </is>
      </c>
      <c r="C22" s="13" t="inlineStr">
        <is>
          <t>IT Support</t>
        </is>
      </c>
      <c r="D22" s="14" t="n">
        <v>14500</v>
      </c>
      <c r="E22" s="12" t="n">
        <v>10</v>
      </c>
      <c r="F22" s="14">
        <f>(D22/$B$9)*$B$8*E22</f>
        <v/>
      </c>
      <c r="G22" s="14" t="n">
        <v>1500</v>
      </c>
      <c r="H22" s="14">
        <f>D22+F22+G22</f>
        <v/>
      </c>
      <c r="I22" s="14">
        <f>D22*$B$7</f>
        <v/>
      </c>
      <c r="J22" s="14">
        <f>MIN(D22*$B$5,177.12)</f>
        <v/>
      </c>
      <c r="K22" s="14">
        <f>D22*$B$6</f>
        <v/>
      </c>
      <c r="L22" s="14">
        <f>SUM(I22:K22)</f>
        <v/>
      </c>
      <c r="M22" s="14">
        <f>H22-L22</f>
        <v/>
      </c>
    </row>
    <row r="23">
      <c r="A23" s="9" t="inlineStr">
        <is>
          <t>EMP1011</t>
        </is>
      </c>
      <c r="B23" s="10" t="inlineStr">
        <is>
          <t>Kabelo Ngcobo</t>
        </is>
      </c>
      <c r="C23" s="10" t="inlineStr">
        <is>
          <t>Admin</t>
        </is>
      </c>
      <c r="D23" s="11" t="n">
        <v>21000</v>
      </c>
      <c r="E23" s="9" t="n">
        <v>0</v>
      </c>
      <c r="F23" s="11">
        <f>(D23/$B$9)*$B$8*E23</f>
        <v/>
      </c>
      <c r="G23" s="11" t="n">
        <v>500</v>
      </c>
      <c r="H23" s="11">
        <f>D23+F23+G23</f>
        <v/>
      </c>
      <c r="I23" s="11">
        <f>D23*$B$7</f>
        <v/>
      </c>
      <c r="J23" s="11">
        <f>MIN(D23*$B$5,177.12)</f>
        <v/>
      </c>
      <c r="K23" s="11">
        <f>D23*$B$6</f>
        <v/>
      </c>
      <c r="L23" s="11">
        <f>SUM(I23:K23)</f>
        <v/>
      </c>
      <c r="M23" s="11">
        <f>H23-L23</f>
        <v/>
      </c>
    </row>
    <row r="24">
      <c r="A24" s="12" t="inlineStr">
        <is>
          <t>EMP1012</t>
        </is>
      </c>
      <c r="B24" s="13" t="inlineStr">
        <is>
          <t>Refilwe Radebe</t>
        </is>
      </c>
      <c r="C24" s="13" t="inlineStr">
        <is>
          <t>Quality</t>
        </is>
      </c>
      <c r="D24" s="14" t="n">
        <v>24000</v>
      </c>
      <c r="E24" s="12" t="n">
        <v>12</v>
      </c>
      <c r="F24" s="14">
        <f>(D24/$B$9)*$B$8*E24</f>
        <v/>
      </c>
      <c r="G24" s="14" t="n">
        <v>750</v>
      </c>
      <c r="H24" s="14">
        <f>D24+F24+G24</f>
        <v/>
      </c>
      <c r="I24" s="14">
        <f>D24*$B$7</f>
        <v/>
      </c>
      <c r="J24" s="14">
        <f>MIN(D24*$B$5,177.12)</f>
        <v/>
      </c>
      <c r="K24" s="14">
        <f>D24*$B$6</f>
        <v/>
      </c>
      <c r="L24" s="14">
        <f>SUM(I24:K24)</f>
        <v/>
      </c>
      <c r="M24" s="14">
        <f>H24-L24</f>
        <v/>
      </c>
    </row>
    <row r="25">
      <c r="A25" s="9" t="inlineStr">
        <is>
          <t>EMP1013</t>
        </is>
      </c>
      <c r="B25" s="10" t="inlineStr">
        <is>
          <t>Mpho Mthembu</t>
        </is>
      </c>
      <c r="C25" s="10" t="inlineStr">
        <is>
          <t>Operations</t>
        </is>
      </c>
      <c r="D25" s="11" t="n">
        <v>21000</v>
      </c>
      <c r="E25" s="9" t="n">
        <v>0</v>
      </c>
      <c r="F25" s="11">
        <f>(D25/$B$9)*$B$8*E25</f>
        <v/>
      </c>
      <c r="G25" s="11" t="n">
        <v>1500</v>
      </c>
      <c r="H25" s="11">
        <f>D25+F25+G25</f>
        <v/>
      </c>
      <c r="I25" s="11">
        <f>D25*$B$7</f>
        <v/>
      </c>
      <c r="J25" s="11">
        <f>MIN(D25*$B$5,177.12)</f>
        <v/>
      </c>
      <c r="K25" s="11">
        <f>D25*$B$6</f>
        <v/>
      </c>
      <c r="L25" s="11">
        <f>SUM(I25:K25)</f>
        <v/>
      </c>
      <c r="M25" s="11">
        <f>H25-L25</f>
        <v/>
      </c>
    </row>
    <row r="26">
      <c r="A26" s="12" t="inlineStr">
        <is>
          <t>EMP1014</t>
        </is>
      </c>
      <c r="B26" s="13" t="inlineStr">
        <is>
          <t>Lindiwe Tshabalala</t>
        </is>
      </c>
      <c r="C26" s="13" t="inlineStr">
        <is>
          <t>Customer Care</t>
        </is>
      </c>
      <c r="D26" s="14" t="n">
        <v>27500</v>
      </c>
      <c r="E26" s="12" t="n">
        <v>8</v>
      </c>
      <c r="F26" s="14">
        <f>(D26/$B$9)*$B$8*E26</f>
        <v/>
      </c>
      <c r="G26" s="14" t="n">
        <v>500</v>
      </c>
      <c r="H26" s="14">
        <f>D26+F26+G26</f>
        <v/>
      </c>
      <c r="I26" s="14">
        <f>D26*$B$7</f>
        <v/>
      </c>
      <c r="J26" s="14">
        <f>MIN(D26*$B$5,177.12)</f>
        <v/>
      </c>
      <c r="K26" s="14">
        <f>D26*$B$6</f>
        <v/>
      </c>
      <c r="L26" s="14">
        <f>SUM(I26:K26)</f>
        <v/>
      </c>
      <c r="M26" s="14">
        <f>H26-L26</f>
        <v/>
      </c>
    </row>
    <row r="27">
      <c r="A27" s="9" t="inlineStr">
        <is>
          <t>EMP1015</t>
        </is>
      </c>
      <c r="B27" s="10" t="inlineStr">
        <is>
          <t>Sibusiso Maseko</t>
        </is>
      </c>
      <c r="C27" s="10" t="inlineStr">
        <is>
          <t>Sales</t>
        </is>
      </c>
      <c r="D27" s="11" t="n">
        <v>14500</v>
      </c>
      <c r="E27" s="9" t="n">
        <v>0</v>
      </c>
      <c r="F27" s="11">
        <f>(D27/$B$9)*$B$8*E27</f>
        <v/>
      </c>
      <c r="G27" s="11" t="n">
        <v>750</v>
      </c>
      <c r="H27" s="11">
        <f>D27+F27+G27</f>
        <v/>
      </c>
      <c r="I27" s="11">
        <f>D27*$B$7</f>
        <v/>
      </c>
      <c r="J27" s="11">
        <f>MIN(D27*$B$5,177.12)</f>
        <v/>
      </c>
      <c r="K27" s="11">
        <f>D27*$B$6</f>
        <v/>
      </c>
      <c r="L27" s="11">
        <f>SUM(I27:K27)</f>
        <v/>
      </c>
      <c r="M27" s="11">
        <f>H27-L27</f>
        <v/>
      </c>
    </row>
    <row r="28">
      <c r="A28" s="12" t="inlineStr">
        <is>
          <t>EMP1016</t>
        </is>
      </c>
      <c r="B28" s="13" t="inlineStr">
        <is>
          <t>Palesa Cele</t>
        </is>
      </c>
      <c r="C28" s="13" t="inlineStr">
        <is>
          <t>IT Support</t>
        </is>
      </c>
      <c r="D28" s="14" t="n">
        <v>12000</v>
      </c>
      <c r="E28" s="12" t="n">
        <v>12</v>
      </c>
      <c r="F28" s="14">
        <f>(D28/$B$9)*$B$8*E28</f>
        <v/>
      </c>
      <c r="G28" s="14" t="n">
        <v>1000</v>
      </c>
      <c r="H28" s="14">
        <f>D28+F28+G28</f>
        <v/>
      </c>
      <c r="I28" s="14">
        <f>D28*$B$7</f>
        <v/>
      </c>
      <c r="J28" s="14">
        <f>MIN(D28*$B$5,177.12)</f>
        <v/>
      </c>
      <c r="K28" s="14">
        <f>D28*$B$6</f>
        <v/>
      </c>
      <c r="L28" s="14">
        <f>SUM(I28:K28)</f>
        <v/>
      </c>
      <c r="M28" s="14">
        <f>H28-L28</f>
        <v/>
      </c>
    </row>
    <row r="29">
      <c r="A29" s="9" t="inlineStr">
        <is>
          <t>EMP1017</t>
        </is>
      </c>
      <c r="B29" s="10" t="inlineStr">
        <is>
          <t>Katlego Buthelezi</t>
        </is>
      </c>
      <c r="C29" s="10" t="inlineStr">
        <is>
          <t>Admin</t>
        </is>
      </c>
      <c r="D29" s="11" t="n">
        <v>16000</v>
      </c>
      <c r="E29" s="9" t="n">
        <v>6</v>
      </c>
      <c r="F29" s="11">
        <f>(D29/$B$9)*$B$8*E29</f>
        <v/>
      </c>
      <c r="G29" s="11" t="n">
        <v>750</v>
      </c>
      <c r="H29" s="11">
        <f>D29+F29+G29</f>
        <v/>
      </c>
      <c r="I29" s="11">
        <f>D29*$B$7</f>
        <v/>
      </c>
      <c r="J29" s="11">
        <f>MIN(D29*$B$5,177.12)</f>
        <v/>
      </c>
      <c r="K29" s="11">
        <f>D29*$B$6</f>
        <v/>
      </c>
      <c r="L29" s="11">
        <f>SUM(I29:K29)</f>
        <v/>
      </c>
      <c r="M29" s="11">
        <f>H29-L29</f>
        <v/>
      </c>
    </row>
    <row r="30">
      <c r="A30" s="12" t="inlineStr">
        <is>
          <t>EMP1018</t>
        </is>
      </c>
      <c r="B30" s="13" t="inlineStr">
        <is>
          <t>Nonhlanhla Motaung</t>
        </is>
      </c>
      <c r="C30" s="13" t="inlineStr">
        <is>
          <t>Quality</t>
        </is>
      </c>
      <c r="D30" s="14" t="n">
        <v>12000</v>
      </c>
      <c r="E30" s="12" t="n">
        <v>4</v>
      </c>
      <c r="F30" s="14">
        <f>(D30/$B$9)*$B$8*E30</f>
        <v/>
      </c>
      <c r="G30" s="14" t="n">
        <v>1000</v>
      </c>
      <c r="H30" s="14">
        <f>D30+F30+G30</f>
        <v/>
      </c>
      <c r="I30" s="14">
        <f>D30*$B$7</f>
        <v/>
      </c>
      <c r="J30" s="14">
        <f>MIN(D30*$B$5,177.12)</f>
        <v/>
      </c>
      <c r="K30" s="14">
        <f>D30*$B$6</f>
        <v/>
      </c>
      <c r="L30" s="14">
        <f>SUM(I30:K30)</f>
        <v/>
      </c>
      <c r="M30" s="14">
        <f>H30-L30</f>
        <v/>
      </c>
    </row>
    <row r="31">
      <c r="A31" s="9" t="inlineStr">
        <is>
          <t>EMP1019</t>
        </is>
      </c>
      <c r="B31" s="10" t="inlineStr">
        <is>
          <t>Themba Sibiya</t>
        </is>
      </c>
      <c r="C31" s="10" t="inlineStr">
        <is>
          <t>Operations</t>
        </is>
      </c>
      <c r="D31" s="11" t="n">
        <v>12000</v>
      </c>
      <c r="E31" s="9" t="n">
        <v>4</v>
      </c>
      <c r="F31" s="11">
        <f>(D31/$B$9)*$B$8*E31</f>
        <v/>
      </c>
      <c r="G31" s="11" t="n">
        <v>750</v>
      </c>
      <c r="H31" s="11">
        <f>D31+F31+G31</f>
        <v/>
      </c>
      <c r="I31" s="11">
        <f>D31*$B$7</f>
        <v/>
      </c>
      <c r="J31" s="11">
        <f>MIN(D31*$B$5,177.12)</f>
        <v/>
      </c>
      <c r="K31" s="11">
        <f>D31*$B$6</f>
        <v/>
      </c>
      <c r="L31" s="11">
        <f>SUM(I31:K31)</f>
        <v/>
      </c>
      <c r="M31" s="11">
        <f>H31-L31</f>
        <v/>
      </c>
    </row>
    <row r="32">
      <c r="A32" s="12" t="inlineStr">
        <is>
          <t>EMP1020</t>
        </is>
      </c>
      <c r="B32" s="13" t="inlineStr">
        <is>
          <t>Dineo Naidoo</t>
        </is>
      </c>
      <c r="C32" s="13" t="inlineStr">
        <is>
          <t>Customer Care</t>
        </is>
      </c>
      <c r="D32" s="14" t="n">
        <v>18500</v>
      </c>
      <c r="E32" s="12" t="n">
        <v>10</v>
      </c>
      <c r="F32" s="14">
        <f>(D32/$B$9)*$B$8*E32</f>
        <v/>
      </c>
      <c r="G32" s="14" t="n">
        <v>500</v>
      </c>
      <c r="H32" s="14">
        <f>D32+F32+G32</f>
        <v/>
      </c>
      <c r="I32" s="14">
        <f>D32*$B$7</f>
        <v/>
      </c>
      <c r="J32" s="14">
        <f>MIN(D32*$B$5,177.12)</f>
        <v/>
      </c>
      <c r="K32" s="14">
        <f>D32*$B$6</f>
        <v/>
      </c>
      <c r="L32" s="14">
        <f>SUM(I32:K32)</f>
        <v/>
      </c>
      <c r="M32" s="14">
        <f>H32-L32</f>
        <v/>
      </c>
    </row>
    <row r="33">
      <c r="A33" s="9" t="inlineStr">
        <is>
          <t>EMP1021</t>
        </is>
      </c>
      <c r="B33" s="10" t="inlineStr">
        <is>
          <t>Musa Mokoena</t>
        </is>
      </c>
      <c r="C33" s="10" t="inlineStr">
        <is>
          <t>Sales</t>
        </is>
      </c>
      <c r="D33" s="11" t="n">
        <v>24000</v>
      </c>
      <c r="E33" s="9" t="n">
        <v>12</v>
      </c>
      <c r="F33" s="11">
        <f>(D33/$B$9)*$B$8*E33</f>
        <v/>
      </c>
      <c r="G33" s="11" t="n">
        <v>1500</v>
      </c>
      <c r="H33" s="11">
        <f>D33+F33+G33</f>
        <v/>
      </c>
      <c r="I33" s="11">
        <f>D33*$B$7</f>
        <v/>
      </c>
      <c r="J33" s="11">
        <f>MIN(D33*$B$5,177.12)</f>
        <v/>
      </c>
      <c r="K33" s="11">
        <f>D33*$B$6</f>
        <v/>
      </c>
      <c r="L33" s="11">
        <f>SUM(I33:K33)</f>
        <v/>
      </c>
      <c r="M33" s="11">
        <f>H33-L33</f>
        <v/>
      </c>
    </row>
    <row r="34">
      <c r="A34" s="12" t="inlineStr">
        <is>
          <t>EMP1022</t>
        </is>
      </c>
      <c r="B34" s="13" t="inlineStr">
        <is>
          <t>Precious Nkosi</t>
        </is>
      </c>
      <c r="C34" s="13" t="inlineStr">
        <is>
          <t>IT Support</t>
        </is>
      </c>
      <c r="D34" s="14" t="n">
        <v>16000</v>
      </c>
      <c r="E34" s="12" t="n">
        <v>0</v>
      </c>
      <c r="F34" s="14">
        <f>(D34/$B$9)*$B$8*E34</f>
        <v/>
      </c>
      <c r="G34" s="14" t="n">
        <v>750</v>
      </c>
      <c r="H34" s="14">
        <f>D34+F34+G34</f>
        <v/>
      </c>
      <c r="I34" s="14">
        <f>D34*$B$7</f>
        <v/>
      </c>
      <c r="J34" s="14">
        <f>MIN(D34*$B$5,177.12)</f>
        <v/>
      </c>
      <c r="K34" s="14">
        <f>D34*$B$6</f>
        <v/>
      </c>
      <c r="L34" s="14">
        <f>SUM(I34:K34)</f>
        <v/>
      </c>
      <c r="M34" s="14">
        <f>H34-L34</f>
        <v/>
      </c>
    </row>
    <row r="35">
      <c r="A35" s="9" t="inlineStr">
        <is>
          <t>EMP1023</t>
        </is>
      </c>
      <c r="B35" s="10" t="inlineStr">
        <is>
          <t>Andile Dlamini</t>
        </is>
      </c>
      <c r="C35" s="10" t="inlineStr">
        <is>
          <t>Admin</t>
        </is>
      </c>
      <c r="D35" s="11" t="n">
        <v>16000</v>
      </c>
      <c r="E35" s="9" t="n">
        <v>6</v>
      </c>
      <c r="F35" s="11">
        <f>(D35/$B$9)*$B$8*E35</f>
        <v/>
      </c>
      <c r="G35" s="11" t="n">
        <v>500</v>
      </c>
      <c r="H35" s="11">
        <f>D35+F35+G35</f>
        <v/>
      </c>
      <c r="I35" s="11">
        <f>D35*$B$7</f>
        <v/>
      </c>
      <c r="J35" s="11">
        <f>MIN(D35*$B$5,177.12)</f>
        <v/>
      </c>
      <c r="K35" s="11">
        <f>D35*$B$6</f>
        <v/>
      </c>
      <c r="L35" s="11">
        <f>SUM(I35:K35)</f>
        <v/>
      </c>
      <c r="M35" s="11">
        <f>H35-L35</f>
        <v/>
      </c>
    </row>
    <row r="36">
      <c r="A36" s="12" t="inlineStr">
        <is>
          <t>EMP1024</t>
        </is>
      </c>
      <c r="B36" s="13" t="inlineStr">
        <is>
          <t>Boitumelo Molefe</t>
        </is>
      </c>
      <c r="C36" s="13" t="inlineStr">
        <is>
          <t>Quality</t>
        </is>
      </c>
      <c r="D36" s="14" t="n">
        <v>16000</v>
      </c>
      <c r="E36" s="12" t="n">
        <v>10</v>
      </c>
      <c r="F36" s="14">
        <f>(D36/$B$9)*$B$8*E36</f>
        <v/>
      </c>
      <c r="G36" s="14" t="n">
        <v>1000</v>
      </c>
      <c r="H36" s="14">
        <f>D36+F36+G36</f>
        <v/>
      </c>
      <c r="I36" s="14">
        <f>D36*$B$7</f>
        <v/>
      </c>
      <c r="J36" s="14">
        <f>MIN(D36*$B$5,177.12)</f>
        <v/>
      </c>
      <c r="K36" s="14">
        <f>D36*$B$6</f>
        <v/>
      </c>
      <c r="L36" s="14">
        <f>SUM(I36:K36)</f>
        <v/>
      </c>
      <c r="M36" s="14">
        <f>H36-L36</f>
        <v/>
      </c>
    </row>
    <row r="37">
      <c r="A37" s="9" t="inlineStr">
        <is>
          <t>EMP1025</t>
        </is>
      </c>
      <c r="B37" s="10" t="inlineStr">
        <is>
          <t>Lwazi Khumalo</t>
        </is>
      </c>
      <c r="C37" s="10" t="inlineStr">
        <is>
          <t>Operations</t>
        </is>
      </c>
      <c r="D37" s="11" t="n">
        <v>27500</v>
      </c>
      <c r="E37" s="9" t="n">
        <v>12</v>
      </c>
      <c r="F37" s="11">
        <f>(D37/$B$9)*$B$8*E37</f>
        <v/>
      </c>
      <c r="G37" s="11" t="n">
        <v>750</v>
      </c>
      <c r="H37" s="11">
        <f>D37+F37+G37</f>
        <v/>
      </c>
      <c r="I37" s="11">
        <f>D37*$B$7</f>
        <v/>
      </c>
      <c r="J37" s="11">
        <f>MIN(D37*$B$5,177.12)</f>
        <v/>
      </c>
      <c r="K37" s="11">
        <f>D37*$B$6</f>
        <v/>
      </c>
      <c r="L37" s="11">
        <f>SUM(I37:K37)</f>
        <v/>
      </c>
      <c r="M37" s="11">
        <f>H37-L37</f>
        <v/>
      </c>
    </row>
    <row r="38">
      <c r="A38" s="15" t="n"/>
      <c r="B38" s="15" t="inlineStr">
        <is>
          <t>TOTALS</t>
        </is>
      </c>
      <c r="C38" s="15" t="n"/>
      <c r="D38" s="16">
        <f>SUM(D13:D37)</f>
        <v/>
      </c>
      <c r="E38" s="15" t="n"/>
      <c r="F38" s="16">
        <f>SUM(F13:F37)</f>
        <v/>
      </c>
      <c r="G38" s="16">
        <f>SUM(G13:G37)</f>
        <v/>
      </c>
      <c r="H38" s="16">
        <f>SUM(H13:H37)</f>
        <v/>
      </c>
      <c r="I38" s="16">
        <f>SUM(I13:I37)</f>
        <v/>
      </c>
      <c r="J38" s="16">
        <f>SUM(J13:J37)</f>
        <v/>
      </c>
      <c r="K38" s="16">
        <f>SUM(K13:K37)</f>
        <v/>
      </c>
      <c r="L38" s="16">
        <f>SUM(L13:L37)</f>
        <v/>
      </c>
      <c r="M38" s="16">
        <f>SUM(M13:M37)</f>
        <v/>
      </c>
    </row>
  </sheetData>
  <mergeCells count="2">
    <mergeCell ref="A2:M2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2026-08-08T23:24:10Z</dcterms:created>
  <dcterms:modified xmlns:dcterms="http://purl.org/dc/terms/" xmlns:xsi="http://www.w3.org/2001/XMLSchema-instance" xsi:type="dcterms:W3CDTF">2026-08-08T23:24:10Z</dcterms:modified>
</cp:coreProperties>
</file>