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tel\OneDrive\Desktop\Unique Sound\Excel-Portfolio\"/>
    </mc:Choice>
  </mc:AlternateContent>
  <xr:revisionPtr revIDLastSave="0" documentId="13_ncr:1_{8102CDE8-205C-4039-85BD-B2D9307EEE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 Master" sheetId="1" r:id="rId1"/>
    <sheet name="Analytic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B9" i="2"/>
  <c r="B6" i="2"/>
  <c r="B5" i="2"/>
  <c r="B4" i="2"/>
  <c r="B10" i="2" s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B8" i="2" s="1"/>
  <c r="B7" i="2" l="1"/>
</calcChain>
</file>

<file path=xl/sharedStrings.xml><?xml version="1.0" encoding="utf-8"?>
<sst xmlns="http://schemas.openxmlformats.org/spreadsheetml/2006/main" count="314" uniqueCount="125">
  <si>
    <t>HR Employee Master Database</t>
  </si>
  <si>
    <t>Headcount, tenure and attrition source data — analytics on the next tab</t>
  </si>
  <si>
    <t>Emp ID</t>
  </si>
  <si>
    <t>Full Name</t>
  </si>
  <si>
    <t>Department</t>
  </si>
  <si>
    <t>Job Title</t>
  </si>
  <si>
    <t>Gender</t>
  </si>
  <si>
    <t>Location</t>
  </si>
  <si>
    <t>Hire Date</t>
  </si>
  <si>
    <t>Status</t>
  </si>
  <si>
    <t>Exit Date</t>
  </si>
  <si>
    <t>Tenure (yrs)</t>
  </si>
  <si>
    <t>Annual Salary</t>
  </si>
  <si>
    <t>EMP2001</t>
  </si>
  <si>
    <t>Naledi Molefe</t>
  </si>
  <si>
    <t>Operations</t>
  </si>
  <si>
    <t>Agent</t>
  </si>
  <si>
    <t>M</t>
  </si>
  <si>
    <t>Johannesburg</t>
  </si>
  <si>
    <t>Active</t>
  </si>
  <si>
    <t>EMP2002</t>
  </si>
  <si>
    <t>Kagiso Khumalo</t>
  </si>
  <si>
    <t>Customer Care</t>
  </si>
  <si>
    <t>CSR</t>
  </si>
  <si>
    <t>F</t>
  </si>
  <si>
    <t>Cape Town</t>
  </si>
  <si>
    <t>EMP2003</t>
  </si>
  <si>
    <t>Zanele Mahlangu</t>
  </si>
  <si>
    <t>Sales</t>
  </si>
  <si>
    <t>Sales Rep</t>
  </si>
  <si>
    <t>Durban</t>
  </si>
  <si>
    <t>EMP2004</t>
  </si>
  <si>
    <t>Tumelo Sithole</t>
  </si>
  <si>
    <t>IT Support</t>
  </si>
  <si>
    <t>Technician</t>
  </si>
  <si>
    <t>Pretoria</t>
  </si>
  <si>
    <t>Resigned</t>
  </si>
  <si>
    <t>EMP2005</t>
  </si>
  <si>
    <t>Ayanda Ndlovu</t>
  </si>
  <si>
    <t>Admin</t>
  </si>
  <si>
    <t>Coordinator</t>
  </si>
  <si>
    <t>EMP2006</t>
  </si>
  <si>
    <t>Bongani Mabaso</t>
  </si>
  <si>
    <t>Quality</t>
  </si>
  <si>
    <t>QA Analyst</t>
  </si>
  <si>
    <t>EMP2007</t>
  </si>
  <si>
    <t>Nomvula Zulu</t>
  </si>
  <si>
    <t>HR</t>
  </si>
  <si>
    <t>HR Officer</t>
  </si>
  <si>
    <t>EMP2008</t>
  </si>
  <si>
    <t>Kabelo Ngcobo</t>
  </si>
  <si>
    <t>Finance</t>
  </si>
  <si>
    <t>Accountant</t>
  </si>
  <si>
    <t>EMP2009</t>
  </si>
  <si>
    <t>Refilwe Radebe</t>
  </si>
  <si>
    <t>EMP2010</t>
  </si>
  <si>
    <t>Mpho Mthembu</t>
  </si>
  <si>
    <t>EMP2011</t>
  </si>
  <si>
    <t>Lindiwe Tshabalala</t>
  </si>
  <si>
    <t>EMP2012</t>
  </si>
  <si>
    <t>Sibusiso Maseko</t>
  </si>
  <si>
    <t>EMP2013</t>
  </si>
  <si>
    <t>Palesa Cele</t>
  </si>
  <si>
    <t>EMP2014</t>
  </si>
  <si>
    <t>Katlego Buthelezi</t>
  </si>
  <si>
    <t>EMP2015</t>
  </si>
  <si>
    <t>Nonhlanhla Motaung</t>
  </si>
  <si>
    <t>EMP2016</t>
  </si>
  <si>
    <t>Themba Sibiya</t>
  </si>
  <si>
    <t>EMP2017</t>
  </si>
  <si>
    <t>Dineo Naidoo</t>
  </si>
  <si>
    <t>EMP2018</t>
  </si>
  <si>
    <t>Musa Mokoena</t>
  </si>
  <si>
    <t>EMP2019</t>
  </si>
  <si>
    <t>Precious Nkosi</t>
  </si>
  <si>
    <t>EMP2020</t>
  </si>
  <si>
    <t>Andile Dlamini</t>
  </si>
  <si>
    <t>EMP2021</t>
  </si>
  <si>
    <t>Boitumelo Molefe</t>
  </si>
  <si>
    <t>EMP2022</t>
  </si>
  <si>
    <t>Lwazi Khumalo</t>
  </si>
  <si>
    <t>EMP2023</t>
  </si>
  <si>
    <t>Zodwa Mahlangu</t>
  </si>
  <si>
    <t>EMP2024</t>
  </si>
  <si>
    <t>Tshepo Sithole</t>
  </si>
  <si>
    <t>EMP2025</t>
  </si>
  <si>
    <t>Amahle Ndlovu</t>
  </si>
  <si>
    <t>EMP2026</t>
  </si>
  <si>
    <t>Sanele Mabaso</t>
  </si>
  <si>
    <t>EMP2027</t>
  </si>
  <si>
    <t>Nokuthula Zulu</t>
  </si>
  <si>
    <t>EMP2028</t>
  </si>
  <si>
    <t>Gift Ngcobo</t>
  </si>
  <si>
    <t>EMP2029</t>
  </si>
  <si>
    <t>Portia Radebe</t>
  </si>
  <si>
    <t>EMP2030</t>
  </si>
  <si>
    <t>Siyabonga Mthembu</t>
  </si>
  <si>
    <t>EMP2031</t>
  </si>
  <si>
    <t>Lesego Tshabalala</t>
  </si>
  <si>
    <t>EMP2032</t>
  </si>
  <si>
    <t>Mandla Maseko</t>
  </si>
  <si>
    <t>EMP2033</t>
  </si>
  <si>
    <t>Nosipho Cele</t>
  </si>
  <si>
    <t>EMP2034</t>
  </si>
  <si>
    <t>Neo Buthelezi</t>
  </si>
  <si>
    <t>EMP2035</t>
  </si>
  <si>
    <t>Zinhle Motaung</t>
  </si>
  <si>
    <t>EMP2036</t>
  </si>
  <si>
    <t>Vusi Sibiya</t>
  </si>
  <si>
    <t>EMP2037</t>
  </si>
  <si>
    <t>Ntombi Naidoo</t>
  </si>
  <si>
    <t>EMP2038</t>
  </si>
  <si>
    <t>Thabo Mokoena</t>
  </si>
  <si>
    <t>EMP2039</t>
  </si>
  <si>
    <t>Lerato Nkosi</t>
  </si>
  <si>
    <t>EMP2040</t>
  </si>
  <si>
    <t>Sipho Dlamini</t>
  </si>
  <si>
    <t>HR Analytics &amp; Attrition Dashboard</t>
  </si>
  <si>
    <t>All metrics reference the Employee Master tab</t>
  </si>
  <si>
    <t>Total Headcount</t>
  </si>
  <si>
    <t>Attrition Rate</t>
  </si>
  <si>
    <t>Avg Tenure (yrs)</t>
  </si>
  <si>
    <t>Avg Salary</t>
  </si>
  <si>
    <t>% Female</t>
  </si>
  <si>
    <t>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</si>
</sst>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"/>
    <numFmt numFmtId="166" formatCode="0.0"/>
    <numFmt numFmtId="167" formatCode="\R#,##0"/>
    <numFmt numFmtId="168" formatCode="0.0%"/>
  </numFmts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1F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AF0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165" fontId="4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4" borderId="0" xfId="0" applyFont="1" applyFill="1"/>
    <xf numFmtId="168" fontId="6" fillId="4" borderId="0" xfId="0" applyNumberFormat="1" applyFont="1" applyFill="1"/>
    <xf numFmtId="166" fontId="6" fillId="4" borderId="0" xfId="0" applyNumberFormat="1" applyFont="1" applyFill="1"/>
    <xf numFmtId="167" fontId="6" fillId="4" borderId="0" xfId="0" applyNumberFormat="1" applyFont="1" applyFill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Headcount by Department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Analytics!$B$13</c:f>
              <c:strCache>
                <c:ptCount val="1"/>
                <c:pt idx="0">
                  <c:v>Headcount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Analytics!$A$14:$A$21</c:f>
              <c:strCache>
                <c:ptCount val="8"/>
                <c:pt idx="0">
                  <c:v>Operations</c:v>
                </c:pt>
                <c:pt idx="1">
                  <c:v>Customer Care</c:v>
                </c:pt>
                <c:pt idx="2">
                  <c:v>Sales</c:v>
                </c:pt>
                <c:pt idx="3">
                  <c:v>IT Support</c:v>
                </c:pt>
                <c:pt idx="4">
                  <c:v>Admin</c:v>
                </c:pt>
                <c:pt idx="5">
                  <c:v>Quality</c:v>
                </c:pt>
                <c:pt idx="6">
                  <c:v>HR</c:v>
                </c:pt>
                <c:pt idx="7">
                  <c:v>Finance</c:v>
                </c:pt>
              </c:strCache>
            </c:strRef>
          </c:cat>
          <c:val>
            <c:numRef>
              <c:f>Analytics!$B$14:$B$21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7-497F-A829-0D654AD5DCF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Avg Salary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Analytics!$D$13</c:f>
              <c:strCache>
                <c:ptCount val="1"/>
                <c:pt idx="0">
                  <c:v>Avg Salary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Analytics!$A$14:$A$21</c:f>
              <c:strCache>
                <c:ptCount val="8"/>
                <c:pt idx="0">
                  <c:v>Operations</c:v>
                </c:pt>
                <c:pt idx="1">
                  <c:v>Customer Care</c:v>
                </c:pt>
                <c:pt idx="2">
                  <c:v>Sales</c:v>
                </c:pt>
                <c:pt idx="3">
                  <c:v>IT Support</c:v>
                </c:pt>
                <c:pt idx="4">
                  <c:v>Admin</c:v>
                </c:pt>
                <c:pt idx="5">
                  <c:v>Quality</c:v>
                </c:pt>
                <c:pt idx="6">
                  <c:v>HR</c:v>
                </c:pt>
                <c:pt idx="7">
                  <c:v>Finance</c:v>
                </c:pt>
              </c:strCache>
            </c:strRef>
          </c:cat>
          <c:val>
            <c:numRef>
              <c:f>Analytics!$D$14:$D$21</c:f>
              <c:numCache>
                <c:formatCode>\R#,##0</c:formatCode>
                <c:ptCount val="8"/>
                <c:pt idx="0">
                  <c:v>23500</c:v>
                </c:pt>
                <c:pt idx="1">
                  <c:v>32900</c:v>
                </c:pt>
                <c:pt idx="2">
                  <c:v>18600</c:v>
                </c:pt>
                <c:pt idx="3">
                  <c:v>25400</c:v>
                </c:pt>
                <c:pt idx="4">
                  <c:v>28900</c:v>
                </c:pt>
                <c:pt idx="5">
                  <c:v>25800</c:v>
                </c:pt>
                <c:pt idx="6">
                  <c:v>24300</c:v>
                </c:pt>
                <c:pt idx="7">
                  <c:v>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2-4243-A925-6EC50ABBF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12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29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showGridLines="0" workbookViewId="0">
      <pane ySplit="4" topLeftCell="A5" activePane="bottomLeft" state="frozen"/>
      <selection pane="bottomLeft" sqref="A1:K1"/>
    </sheetView>
  </sheetViews>
  <sheetFormatPr defaultRowHeight="14.4" x14ac:dyDescent="0.3"/>
  <cols>
    <col min="1" max="1" width="9" customWidth="1"/>
    <col min="2" max="2" width="18" customWidth="1"/>
    <col min="3" max="3" width="15" customWidth="1"/>
    <col min="4" max="4" width="12" customWidth="1"/>
    <col min="5" max="5" width="7" customWidth="1"/>
    <col min="6" max="6" width="13" customWidth="1"/>
    <col min="7" max="7" width="11" customWidth="1"/>
    <col min="8" max="8" width="10" customWidth="1"/>
    <col min="9" max="9" width="11" customWidth="1"/>
    <col min="10" max="10" width="10" customWidth="1"/>
    <col min="11" max="11" width="13" customWidth="1"/>
  </cols>
  <sheetData>
    <row r="1" spans="1:11" ht="30" customHeight="1" x14ac:dyDescent="0.3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2" t="s">
        <v>13</v>
      </c>
      <c r="B5" s="3" t="s">
        <v>14</v>
      </c>
      <c r="C5" s="3" t="s">
        <v>15</v>
      </c>
      <c r="D5" s="3" t="s">
        <v>16</v>
      </c>
      <c r="E5" s="2" t="s">
        <v>17</v>
      </c>
      <c r="F5" s="3" t="s">
        <v>18</v>
      </c>
      <c r="G5" s="4">
        <v>44281</v>
      </c>
      <c r="H5" s="2" t="s">
        <v>19</v>
      </c>
      <c r="I5" s="2"/>
      <c r="J5" s="5">
        <f ca="1">(TODAY()-G5)/365.25</f>
        <v>5.3689253935660508</v>
      </c>
      <c r="K5" s="6">
        <v>29000</v>
      </c>
    </row>
    <row r="6" spans="1:11" x14ac:dyDescent="0.3">
      <c r="A6" s="7" t="s">
        <v>20</v>
      </c>
      <c r="B6" s="8" t="s">
        <v>21</v>
      </c>
      <c r="C6" s="8" t="s">
        <v>22</v>
      </c>
      <c r="D6" s="8" t="s">
        <v>23</v>
      </c>
      <c r="E6" s="7" t="s">
        <v>24</v>
      </c>
      <c r="F6" s="8" t="s">
        <v>25</v>
      </c>
      <c r="G6" s="9">
        <v>45685</v>
      </c>
      <c r="H6" s="7" t="s">
        <v>19</v>
      </c>
      <c r="I6" s="7"/>
      <c r="J6" s="10">
        <f ca="1">(TODAY()-G6)/365.25</f>
        <v>1.5249828884325805</v>
      </c>
      <c r="K6" s="11">
        <v>19500</v>
      </c>
    </row>
    <row r="7" spans="1:11" x14ac:dyDescent="0.3">
      <c r="A7" s="2" t="s">
        <v>26</v>
      </c>
      <c r="B7" s="3" t="s">
        <v>27</v>
      </c>
      <c r="C7" s="3" t="s">
        <v>28</v>
      </c>
      <c r="D7" s="3" t="s">
        <v>29</v>
      </c>
      <c r="E7" s="2" t="s">
        <v>17</v>
      </c>
      <c r="F7" s="3" t="s">
        <v>30</v>
      </c>
      <c r="G7" s="4">
        <v>45881</v>
      </c>
      <c r="H7" s="2" t="s">
        <v>19</v>
      </c>
      <c r="I7" s="2"/>
      <c r="J7" s="5">
        <f ca="1">(TODAY()-G7)/365.25</f>
        <v>0.9883641341546886</v>
      </c>
      <c r="K7" s="6">
        <v>19500</v>
      </c>
    </row>
    <row r="8" spans="1:11" x14ac:dyDescent="0.3">
      <c r="A8" s="7" t="s">
        <v>31</v>
      </c>
      <c r="B8" s="8" t="s">
        <v>32</v>
      </c>
      <c r="C8" s="8" t="s">
        <v>33</v>
      </c>
      <c r="D8" s="8" t="s">
        <v>34</v>
      </c>
      <c r="E8" s="7" t="s">
        <v>24</v>
      </c>
      <c r="F8" s="8" t="s">
        <v>35</v>
      </c>
      <c r="G8" s="9">
        <v>43852</v>
      </c>
      <c r="H8" s="7" t="s">
        <v>36</v>
      </c>
      <c r="I8" s="9">
        <v>44724</v>
      </c>
      <c r="J8" s="10">
        <f>(I8-G8)/365.25</f>
        <v>2.3874058863791925</v>
      </c>
      <c r="K8" s="11">
        <v>22000</v>
      </c>
    </row>
    <row r="9" spans="1:11" x14ac:dyDescent="0.3">
      <c r="A9" s="2" t="s">
        <v>37</v>
      </c>
      <c r="B9" s="3" t="s">
        <v>38</v>
      </c>
      <c r="C9" s="3" t="s">
        <v>39</v>
      </c>
      <c r="D9" s="3" t="s">
        <v>40</v>
      </c>
      <c r="E9" s="2" t="s">
        <v>17</v>
      </c>
      <c r="F9" s="3" t="s">
        <v>18</v>
      </c>
      <c r="G9" s="4">
        <v>45713</v>
      </c>
      <c r="H9" s="2" t="s">
        <v>19</v>
      </c>
      <c r="I9" s="2"/>
      <c r="J9" s="5">
        <f ca="1">(TODAY()-G9)/365.25</f>
        <v>1.4483230663928817</v>
      </c>
      <c r="K9" s="6">
        <v>40000</v>
      </c>
    </row>
    <row r="10" spans="1:11" x14ac:dyDescent="0.3">
      <c r="A10" s="7" t="s">
        <v>41</v>
      </c>
      <c r="B10" s="8" t="s">
        <v>42</v>
      </c>
      <c r="C10" s="8" t="s">
        <v>43</v>
      </c>
      <c r="D10" s="8" t="s">
        <v>44</v>
      </c>
      <c r="E10" s="7" t="s">
        <v>24</v>
      </c>
      <c r="F10" s="8" t="s">
        <v>25</v>
      </c>
      <c r="G10" s="9">
        <v>44892</v>
      </c>
      <c r="H10" s="7" t="s">
        <v>19</v>
      </c>
      <c r="I10" s="7"/>
      <c r="J10" s="10">
        <f ca="1">(TODAY()-G10)/365.25</f>
        <v>3.6960985626283369</v>
      </c>
      <c r="K10" s="11">
        <v>13000</v>
      </c>
    </row>
    <row r="11" spans="1:11" x14ac:dyDescent="0.3">
      <c r="A11" s="2" t="s">
        <v>45</v>
      </c>
      <c r="B11" s="3" t="s">
        <v>46</v>
      </c>
      <c r="C11" s="3" t="s">
        <v>47</v>
      </c>
      <c r="D11" s="3" t="s">
        <v>48</v>
      </c>
      <c r="E11" s="2" t="s">
        <v>17</v>
      </c>
      <c r="F11" s="3" t="s">
        <v>30</v>
      </c>
      <c r="G11" s="4">
        <v>43591</v>
      </c>
      <c r="H11" s="2" t="s">
        <v>19</v>
      </c>
      <c r="I11" s="2"/>
      <c r="J11" s="5">
        <f ca="1">(TODAY()-G11)/365.25</f>
        <v>7.2580424366872007</v>
      </c>
      <c r="K11" s="6">
        <v>22000</v>
      </c>
    </row>
    <row r="12" spans="1:11" x14ac:dyDescent="0.3">
      <c r="A12" s="7" t="s">
        <v>49</v>
      </c>
      <c r="B12" s="8" t="s">
        <v>50</v>
      </c>
      <c r="C12" s="8" t="s">
        <v>51</v>
      </c>
      <c r="D12" s="8" t="s">
        <v>52</v>
      </c>
      <c r="E12" s="7" t="s">
        <v>24</v>
      </c>
      <c r="F12" s="8" t="s">
        <v>35</v>
      </c>
      <c r="G12" s="9">
        <v>43516</v>
      </c>
      <c r="H12" s="7" t="s">
        <v>19</v>
      </c>
      <c r="I12" s="7"/>
      <c r="J12" s="10">
        <f ca="1">(TODAY()-G12)/365.25</f>
        <v>7.4633812457221085</v>
      </c>
      <c r="K12" s="11">
        <v>25000</v>
      </c>
    </row>
    <row r="13" spans="1:11" x14ac:dyDescent="0.3">
      <c r="A13" s="2" t="s">
        <v>53</v>
      </c>
      <c r="B13" s="3" t="s">
        <v>54</v>
      </c>
      <c r="C13" s="3" t="s">
        <v>15</v>
      </c>
      <c r="D13" s="3" t="s">
        <v>16</v>
      </c>
      <c r="E13" s="2" t="s">
        <v>17</v>
      </c>
      <c r="F13" s="3" t="s">
        <v>18</v>
      </c>
      <c r="G13" s="4">
        <v>44851</v>
      </c>
      <c r="H13" s="2" t="s">
        <v>36</v>
      </c>
      <c r="I13" s="4">
        <v>46231</v>
      </c>
      <c r="J13" s="5">
        <f>(I13-G13)/365.25</f>
        <v>3.7782340862422998</v>
      </c>
      <c r="K13" s="6">
        <v>19500</v>
      </c>
    </row>
    <row r="14" spans="1:11" x14ac:dyDescent="0.3">
      <c r="A14" s="7" t="s">
        <v>55</v>
      </c>
      <c r="B14" s="8" t="s">
        <v>56</v>
      </c>
      <c r="C14" s="8" t="s">
        <v>22</v>
      </c>
      <c r="D14" s="8" t="s">
        <v>23</v>
      </c>
      <c r="E14" s="7" t="s">
        <v>24</v>
      </c>
      <c r="F14" s="8" t="s">
        <v>25</v>
      </c>
      <c r="G14" s="9">
        <v>44219</v>
      </c>
      <c r="H14" s="7" t="s">
        <v>19</v>
      </c>
      <c r="I14" s="7"/>
      <c r="J14" s="10">
        <f ca="1">(TODAY()-G14)/365.25</f>
        <v>5.5386721423682408</v>
      </c>
      <c r="K14" s="11">
        <v>40000</v>
      </c>
    </row>
    <row r="15" spans="1:11" x14ac:dyDescent="0.3">
      <c r="A15" s="2" t="s">
        <v>57</v>
      </c>
      <c r="B15" s="3" t="s">
        <v>58</v>
      </c>
      <c r="C15" s="3" t="s">
        <v>28</v>
      </c>
      <c r="D15" s="3" t="s">
        <v>29</v>
      </c>
      <c r="E15" s="2" t="s">
        <v>17</v>
      </c>
      <c r="F15" s="3" t="s">
        <v>30</v>
      </c>
      <c r="G15" s="4">
        <v>45922</v>
      </c>
      <c r="H15" s="2" t="s">
        <v>19</v>
      </c>
      <c r="I15" s="2"/>
      <c r="J15" s="5">
        <f ca="1">(TODAY()-G15)/365.25</f>
        <v>0.87611225188227237</v>
      </c>
      <c r="K15" s="6">
        <v>19500</v>
      </c>
    </row>
    <row r="16" spans="1:11" x14ac:dyDescent="0.3">
      <c r="A16" s="7" t="s">
        <v>59</v>
      </c>
      <c r="B16" s="8" t="s">
        <v>60</v>
      </c>
      <c r="C16" s="8" t="s">
        <v>33</v>
      </c>
      <c r="D16" s="8" t="s">
        <v>34</v>
      </c>
      <c r="E16" s="7" t="s">
        <v>24</v>
      </c>
      <c r="F16" s="8" t="s">
        <v>35</v>
      </c>
      <c r="G16" s="9">
        <v>44380</v>
      </c>
      <c r="H16" s="7" t="s">
        <v>19</v>
      </c>
      <c r="I16" s="7"/>
      <c r="J16" s="10">
        <f ca="1">(TODAY()-G16)/365.25</f>
        <v>5.0978781656399725</v>
      </c>
      <c r="K16" s="11">
        <v>25000</v>
      </c>
    </row>
    <row r="17" spans="1:11" x14ac:dyDescent="0.3">
      <c r="A17" s="2" t="s">
        <v>61</v>
      </c>
      <c r="B17" s="3" t="s">
        <v>62</v>
      </c>
      <c r="C17" s="3" t="s">
        <v>39</v>
      </c>
      <c r="D17" s="3" t="s">
        <v>40</v>
      </c>
      <c r="E17" s="2" t="s">
        <v>17</v>
      </c>
      <c r="F17" s="3" t="s">
        <v>18</v>
      </c>
      <c r="G17" s="4">
        <v>45099</v>
      </c>
      <c r="H17" s="2" t="s">
        <v>19</v>
      </c>
      <c r="I17" s="2"/>
      <c r="J17" s="5">
        <f ca="1">(TODAY()-G17)/365.25</f>
        <v>3.1293634496919918</v>
      </c>
      <c r="K17" s="6">
        <v>22000</v>
      </c>
    </row>
    <row r="18" spans="1:11" x14ac:dyDescent="0.3">
      <c r="A18" s="7" t="s">
        <v>63</v>
      </c>
      <c r="B18" s="8" t="s">
        <v>64</v>
      </c>
      <c r="C18" s="8" t="s">
        <v>43</v>
      </c>
      <c r="D18" s="8" t="s">
        <v>44</v>
      </c>
      <c r="E18" s="7" t="s">
        <v>24</v>
      </c>
      <c r="F18" s="8" t="s">
        <v>25</v>
      </c>
      <c r="G18" s="9">
        <v>45068</v>
      </c>
      <c r="H18" s="7" t="s">
        <v>19</v>
      </c>
      <c r="I18" s="7"/>
      <c r="J18" s="10">
        <f ca="1">(TODAY()-G18)/365.25</f>
        <v>3.2142368240930868</v>
      </c>
      <c r="K18" s="11">
        <v>29000</v>
      </c>
    </row>
    <row r="19" spans="1:11" x14ac:dyDescent="0.3">
      <c r="A19" s="2" t="s">
        <v>65</v>
      </c>
      <c r="B19" s="3" t="s">
        <v>66</v>
      </c>
      <c r="C19" s="3" t="s">
        <v>47</v>
      </c>
      <c r="D19" s="3" t="s">
        <v>48</v>
      </c>
      <c r="E19" s="2" t="s">
        <v>17</v>
      </c>
      <c r="F19" s="3" t="s">
        <v>30</v>
      </c>
      <c r="G19" s="4">
        <v>45430</v>
      </c>
      <c r="H19" s="2" t="s">
        <v>36</v>
      </c>
      <c r="I19" s="4">
        <v>46186</v>
      </c>
      <c r="J19" s="5">
        <f>(I19-G19)/365.25</f>
        <v>2.0698151950718686</v>
      </c>
      <c r="K19" s="6">
        <v>17000</v>
      </c>
    </row>
    <row r="20" spans="1:11" x14ac:dyDescent="0.3">
      <c r="A20" s="7" t="s">
        <v>67</v>
      </c>
      <c r="B20" s="8" t="s">
        <v>68</v>
      </c>
      <c r="C20" s="8" t="s">
        <v>51</v>
      </c>
      <c r="D20" s="8" t="s">
        <v>52</v>
      </c>
      <c r="E20" s="7" t="s">
        <v>24</v>
      </c>
      <c r="F20" s="8" t="s">
        <v>35</v>
      </c>
      <c r="G20" s="9">
        <v>45209</v>
      </c>
      <c r="H20" s="7" t="s">
        <v>19</v>
      </c>
      <c r="I20" s="7"/>
      <c r="J20" s="10">
        <f t="shared" ref="J20:J28" ca="1" si="0">(TODAY()-G20)/365.25</f>
        <v>2.8281998631074607</v>
      </c>
      <c r="K20" s="11">
        <v>13000</v>
      </c>
    </row>
    <row r="21" spans="1:11" x14ac:dyDescent="0.3">
      <c r="A21" s="2" t="s">
        <v>69</v>
      </c>
      <c r="B21" s="3" t="s">
        <v>70</v>
      </c>
      <c r="C21" s="3" t="s">
        <v>15</v>
      </c>
      <c r="D21" s="3" t="s">
        <v>16</v>
      </c>
      <c r="E21" s="2" t="s">
        <v>17</v>
      </c>
      <c r="F21" s="3" t="s">
        <v>18</v>
      </c>
      <c r="G21" s="4">
        <v>44323</v>
      </c>
      <c r="H21" s="2" t="s">
        <v>19</v>
      </c>
      <c r="I21" s="2"/>
      <c r="J21" s="5">
        <f t="shared" ca="1" si="0"/>
        <v>5.2539356605065022</v>
      </c>
      <c r="K21" s="6">
        <v>25000</v>
      </c>
    </row>
    <row r="22" spans="1:11" x14ac:dyDescent="0.3">
      <c r="A22" s="7" t="s">
        <v>71</v>
      </c>
      <c r="B22" s="8" t="s">
        <v>72</v>
      </c>
      <c r="C22" s="8" t="s">
        <v>22</v>
      </c>
      <c r="D22" s="8" t="s">
        <v>23</v>
      </c>
      <c r="E22" s="7" t="s">
        <v>24</v>
      </c>
      <c r="F22" s="8" t="s">
        <v>25</v>
      </c>
      <c r="G22" s="9">
        <v>44788</v>
      </c>
      <c r="H22" s="7" t="s">
        <v>19</v>
      </c>
      <c r="I22" s="7"/>
      <c r="J22" s="10">
        <f t="shared" ca="1" si="0"/>
        <v>3.9808350444900751</v>
      </c>
      <c r="K22" s="11">
        <v>40000</v>
      </c>
    </row>
    <row r="23" spans="1:11" x14ac:dyDescent="0.3">
      <c r="A23" s="2" t="s">
        <v>73</v>
      </c>
      <c r="B23" s="3" t="s">
        <v>74</v>
      </c>
      <c r="C23" s="3" t="s">
        <v>28</v>
      </c>
      <c r="D23" s="3" t="s">
        <v>29</v>
      </c>
      <c r="E23" s="2" t="s">
        <v>17</v>
      </c>
      <c r="F23" s="3" t="s">
        <v>30</v>
      </c>
      <c r="G23" s="4">
        <v>44901</v>
      </c>
      <c r="H23" s="2" t="s">
        <v>19</v>
      </c>
      <c r="I23" s="2"/>
      <c r="J23" s="5">
        <f t="shared" ca="1" si="0"/>
        <v>3.6714579055441479</v>
      </c>
      <c r="K23" s="6">
        <v>22000</v>
      </c>
    </row>
    <row r="24" spans="1:11" x14ac:dyDescent="0.3">
      <c r="A24" s="7" t="s">
        <v>75</v>
      </c>
      <c r="B24" s="8" t="s">
        <v>76</v>
      </c>
      <c r="C24" s="8" t="s">
        <v>33</v>
      </c>
      <c r="D24" s="8" t="s">
        <v>34</v>
      </c>
      <c r="E24" s="7" t="s">
        <v>24</v>
      </c>
      <c r="F24" s="8" t="s">
        <v>35</v>
      </c>
      <c r="G24" s="9">
        <v>45251</v>
      </c>
      <c r="H24" s="7" t="s">
        <v>19</v>
      </c>
      <c r="I24" s="7"/>
      <c r="J24" s="10">
        <f t="shared" ca="1" si="0"/>
        <v>2.7132101300479126</v>
      </c>
      <c r="K24" s="11">
        <v>15000</v>
      </c>
    </row>
    <row r="25" spans="1:11" x14ac:dyDescent="0.3">
      <c r="A25" s="2" t="s">
        <v>77</v>
      </c>
      <c r="B25" s="3" t="s">
        <v>78</v>
      </c>
      <c r="C25" s="3" t="s">
        <v>39</v>
      </c>
      <c r="D25" s="3" t="s">
        <v>40</v>
      </c>
      <c r="E25" s="2" t="s">
        <v>17</v>
      </c>
      <c r="F25" s="3" t="s">
        <v>18</v>
      </c>
      <c r="G25" s="4">
        <v>45769</v>
      </c>
      <c r="H25" s="2" t="s">
        <v>19</v>
      </c>
      <c r="I25" s="2"/>
      <c r="J25" s="5">
        <f t="shared" ca="1" si="0"/>
        <v>1.2950034223134839</v>
      </c>
      <c r="K25" s="6">
        <v>19500</v>
      </c>
    </row>
    <row r="26" spans="1:11" x14ac:dyDescent="0.3">
      <c r="A26" s="7" t="s">
        <v>79</v>
      </c>
      <c r="B26" s="8" t="s">
        <v>80</v>
      </c>
      <c r="C26" s="8" t="s">
        <v>43</v>
      </c>
      <c r="D26" s="8" t="s">
        <v>44</v>
      </c>
      <c r="E26" s="7" t="s">
        <v>24</v>
      </c>
      <c r="F26" s="8" t="s">
        <v>25</v>
      </c>
      <c r="G26" s="9">
        <v>43832</v>
      </c>
      <c r="H26" s="7" t="s">
        <v>19</v>
      </c>
      <c r="I26" s="7"/>
      <c r="J26" s="10">
        <f t="shared" ca="1" si="0"/>
        <v>6.5982203969883644</v>
      </c>
      <c r="K26" s="11">
        <v>34000</v>
      </c>
    </row>
    <row r="27" spans="1:11" x14ac:dyDescent="0.3">
      <c r="A27" s="2" t="s">
        <v>81</v>
      </c>
      <c r="B27" s="3" t="s">
        <v>82</v>
      </c>
      <c r="C27" s="3" t="s">
        <v>47</v>
      </c>
      <c r="D27" s="3" t="s">
        <v>48</v>
      </c>
      <c r="E27" s="2" t="s">
        <v>17</v>
      </c>
      <c r="F27" s="3" t="s">
        <v>30</v>
      </c>
      <c r="G27" s="4">
        <v>44972</v>
      </c>
      <c r="H27" s="2" t="s">
        <v>19</v>
      </c>
      <c r="I27" s="2"/>
      <c r="J27" s="5">
        <f t="shared" ca="1" si="0"/>
        <v>3.4770704996577688</v>
      </c>
      <c r="K27" s="6">
        <v>19500</v>
      </c>
    </row>
    <row r="28" spans="1:11" x14ac:dyDescent="0.3">
      <c r="A28" s="7" t="s">
        <v>83</v>
      </c>
      <c r="B28" s="8" t="s">
        <v>84</v>
      </c>
      <c r="C28" s="8" t="s">
        <v>51</v>
      </c>
      <c r="D28" s="8" t="s">
        <v>52</v>
      </c>
      <c r="E28" s="7" t="s">
        <v>24</v>
      </c>
      <c r="F28" s="8" t="s">
        <v>35</v>
      </c>
      <c r="G28" s="9">
        <v>45639</v>
      </c>
      <c r="H28" s="7" t="s">
        <v>19</v>
      </c>
      <c r="I28" s="7"/>
      <c r="J28" s="10">
        <f t="shared" ca="1" si="0"/>
        <v>1.6509240246406571</v>
      </c>
      <c r="K28" s="11">
        <v>19500</v>
      </c>
    </row>
    <row r="29" spans="1:11" x14ac:dyDescent="0.3">
      <c r="A29" s="2" t="s">
        <v>85</v>
      </c>
      <c r="B29" s="3" t="s">
        <v>86</v>
      </c>
      <c r="C29" s="3" t="s">
        <v>15</v>
      </c>
      <c r="D29" s="3" t="s">
        <v>16</v>
      </c>
      <c r="E29" s="2" t="s">
        <v>17</v>
      </c>
      <c r="F29" s="3" t="s">
        <v>18</v>
      </c>
      <c r="G29" s="4">
        <v>44158</v>
      </c>
      <c r="H29" s="2" t="s">
        <v>36</v>
      </c>
      <c r="I29" s="4">
        <v>44576</v>
      </c>
      <c r="J29" s="5">
        <f>(I29-G29)/365.25</f>
        <v>1.1444216290212184</v>
      </c>
      <c r="K29" s="6">
        <v>29000</v>
      </c>
    </row>
    <row r="30" spans="1:11" x14ac:dyDescent="0.3">
      <c r="A30" s="7" t="s">
        <v>87</v>
      </c>
      <c r="B30" s="8" t="s">
        <v>88</v>
      </c>
      <c r="C30" s="8" t="s">
        <v>22</v>
      </c>
      <c r="D30" s="8" t="s">
        <v>23</v>
      </c>
      <c r="E30" s="7" t="s">
        <v>24</v>
      </c>
      <c r="F30" s="8" t="s">
        <v>25</v>
      </c>
      <c r="G30" s="9">
        <v>43916</v>
      </c>
      <c r="H30" s="7" t="s">
        <v>19</v>
      </c>
      <c r="I30" s="7"/>
      <c r="J30" s="10">
        <f t="shared" ref="J30:J38" ca="1" si="1">(TODAY()-G30)/365.25</f>
        <v>6.368240930869268</v>
      </c>
      <c r="K30" s="11">
        <v>40000</v>
      </c>
    </row>
    <row r="31" spans="1:11" x14ac:dyDescent="0.3">
      <c r="A31" s="2" t="s">
        <v>89</v>
      </c>
      <c r="B31" s="3" t="s">
        <v>90</v>
      </c>
      <c r="C31" s="3" t="s">
        <v>28</v>
      </c>
      <c r="D31" s="3" t="s">
        <v>29</v>
      </c>
      <c r="E31" s="2" t="s">
        <v>17</v>
      </c>
      <c r="F31" s="3" t="s">
        <v>30</v>
      </c>
      <c r="G31" s="4">
        <v>44579</v>
      </c>
      <c r="H31" s="2" t="s">
        <v>19</v>
      </c>
      <c r="I31" s="2"/>
      <c r="J31" s="5">
        <f t="shared" ca="1" si="1"/>
        <v>4.5530458590006848</v>
      </c>
      <c r="K31" s="6">
        <v>15000</v>
      </c>
    </row>
    <row r="32" spans="1:11" x14ac:dyDescent="0.3">
      <c r="A32" s="7" t="s">
        <v>91</v>
      </c>
      <c r="B32" s="8" t="s">
        <v>92</v>
      </c>
      <c r="C32" s="8" t="s">
        <v>33</v>
      </c>
      <c r="D32" s="8" t="s">
        <v>34</v>
      </c>
      <c r="E32" s="7" t="s">
        <v>24</v>
      </c>
      <c r="F32" s="8" t="s">
        <v>35</v>
      </c>
      <c r="G32" s="9">
        <v>44646</v>
      </c>
      <c r="H32" s="7" t="s">
        <v>19</v>
      </c>
      <c r="I32" s="7"/>
      <c r="J32" s="10">
        <f t="shared" ca="1" si="1"/>
        <v>4.3696098562628336</v>
      </c>
      <c r="K32" s="11">
        <v>40000</v>
      </c>
    </row>
    <row r="33" spans="1:11" x14ac:dyDescent="0.3">
      <c r="A33" s="2" t="s">
        <v>93</v>
      </c>
      <c r="B33" s="3" t="s">
        <v>94</v>
      </c>
      <c r="C33" s="3" t="s">
        <v>39</v>
      </c>
      <c r="D33" s="3" t="s">
        <v>40</v>
      </c>
      <c r="E33" s="2" t="s">
        <v>17</v>
      </c>
      <c r="F33" s="3" t="s">
        <v>18</v>
      </c>
      <c r="G33" s="4">
        <v>45210</v>
      </c>
      <c r="H33" s="2" t="s">
        <v>19</v>
      </c>
      <c r="I33" s="2"/>
      <c r="J33" s="5">
        <f t="shared" ca="1" si="1"/>
        <v>2.8254620123203287</v>
      </c>
      <c r="K33" s="6">
        <v>34000</v>
      </c>
    </row>
    <row r="34" spans="1:11" x14ac:dyDescent="0.3">
      <c r="A34" s="7" t="s">
        <v>95</v>
      </c>
      <c r="B34" s="8" t="s">
        <v>96</v>
      </c>
      <c r="C34" s="8" t="s">
        <v>43</v>
      </c>
      <c r="D34" s="8" t="s">
        <v>44</v>
      </c>
      <c r="E34" s="7" t="s">
        <v>24</v>
      </c>
      <c r="F34" s="8" t="s">
        <v>25</v>
      </c>
      <c r="G34" s="9">
        <v>45277</v>
      </c>
      <c r="H34" s="7" t="s">
        <v>19</v>
      </c>
      <c r="I34" s="7"/>
      <c r="J34" s="10">
        <f t="shared" ca="1" si="1"/>
        <v>2.6420260095824779</v>
      </c>
      <c r="K34" s="11">
        <v>40000</v>
      </c>
    </row>
    <row r="35" spans="1:11" x14ac:dyDescent="0.3">
      <c r="A35" s="2" t="s">
        <v>97</v>
      </c>
      <c r="B35" s="3" t="s">
        <v>98</v>
      </c>
      <c r="C35" s="3" t="s">
        <v>47</v>
      </c>
      <c r="D35" s="3" t="s">
        <v>48</v>
      </c>
      <c r="E35" s="2" t="s">
        <v>17</v>
      </c>
      <c r="F35" s="3" t="s">
        <v>30</v>
      </c>
      <c r="G35" s="4">
        <v>44644</v>
      </c>
      <c r="H35" s="2" t="s">
        <v>19</v>
      </c>
      <c r="I35" s="2"/>
      <c r="J35" s="5">
        <f t="shared" ca="1" si="1"/>
        <v>4.3750855578370977</v>
      </c>
      <c r="K35" s="6">
        <v>34000</v>
      </c>
    </row>
    <row r="36" spans="1:11" x14ac:dyDescent="0.3">
      <c r="A36" s="7" t="s">
        <v>99</v>
      </c>
      <c r="B36" s="8" t="s">
        <v>100</v>
      </c>
      <c r="C36" s="8" t="s">
        <v>51</v>
      </c>
      <c r="D36" s="8" t="s">
        <v>52</v>
      </c>
      <c r="E36" s="7" t="s">
        <v>24</v>
      </c>
      <c r="F36" s="8" t="s">
        <v>35</v>
      </c>
      <c r="G36" s="9">
        <v>44313</v>
      </c>
      <c r="H36" s="7" t="s">
        <v>19</v>
      </c>
      <c r="I36" s="7"/>
      <c r="J36" s="10">
        <f t="shared" ca="1" si="1"/>
        <v>5.2813141683778237</v>
      </c>
      <c r="K36" s="11">
        <v>40000</v>
      </c>
    </row>
    <row r="37" spans="1:11" x14ac:dyDescent="0.3">
      <c r="A37" s="2" t="s">
        <v>101</v>
      </c>
      <c r="B37" s="3" t="s">
        <v>102</v>
      </c>
      <c r="C37" s="3" t="s">
        <v>15</v>
      </c>
      <c r="D37" s="3" t="s">
        <v>16</v>
      </c>
      <c r="E37" s="2" t="s">
        <v>17</v>
      </c>
      <c r="F37" s="3" t="s">
        <v>18</v>
      </c>
      <c r="G37" s="4">
        <v>44873</v>
      </c>
      <c r="H37" s="2" t="s">
        <v>19</v>
      </c>
      <c r="I37" s="2"/>
      <c r="J37" s="5">
        <f t="shared" ca="1" si="1"/>
        <v>3.7481177275838466</v>
      </c>
      <c r="K37" s="6">
        <v>15000</v>
      </c>
    </row>
    <row r="38" spans="1:11" x14ac:dyDescent="0.3">
      <c r="A38" s="7" t="s">
        <v>103</v>
      </c>
      <c r="B38" s="8" t="s">
        <v>104</v>
      </c>
      <c r="C38" s="8" t="s">
        <v>22</v>
      </c>
      <c r="D38" s="8" t="s">
        <v>23</v>
      </c>
      <c r="E38" s="7" t="s">
        <v>24</v>
      </c>
      <c r="F38" s="8" t="s">
        <v>25</v>
      </c>
      <c r="G38" s="9">
        <v>45420</v>
      </c>
      <c r="H38" s="7" t="s">
        <v>19</v>
      </c>
      <c r="I38" s="7"/>
      <c r="J38" s="10">
        <f t="shared" ca="1" si="1"/>
        <v>2.2505133470225873</v>
      </c>
      <c r="K38" s="11">
        <v>25000</v>
      </c>
    </row>
    <row r="39" spans="1:11" x14ac:dyDescent="0.3">
      <c r="A39" s="2" t="s">
        <v>105</v>
      </c>
      <c r="B39" s="3" t="s">
        <v>106</v>
      </c>
      <c r="C39" s="3" t="s">
        <v>28</v>
      </c>
      <c r="D39" s="3" t="s">
        <v>29</v>
      </c>
      <c r="E39" s="2" t="s">
        <v>17</v>
      </c>
      <c r="F39" s="3" t="s">
        <v>30</v>
      </c>
      <c r="G39" s="4">
        <v>44962</v>
      </c>
      <c r="H39" s="2" t="s">
        <v>36</v>
      </c>
      <c r="I39" s="4">
        <v>45946</v>
      </c>
      <c r="J39" s="5">
        <f>(I39-G39)/365.25</f>
        <v>2.6940451745379876</v>
      </c>
      <c r="K39" s="6">
        <v>17000</v>
      </c>
    </row>
    <row r="40" spans="1:11" x14ac:dyDescent="0.3">
      <c r="A40" s="7" t="s">
        <v>107</v>
      </c>
      <c r="B40" s="8" t="s">
        <v>108</v>
      </c>
      <c r="C40" s="8" t="s">
        <v>33</v>
      </c>
      <c r="D40" s="8" t="s">
        <v>34</v>
      </c>
      <c r="E40" s="7" t="s">
        <v>24</v>
      </c>
      <c r="F40" s="8" t="s">
        <v>35</v>
      </c>
      <c r="G40" s="9">
        <v>45385</v>
      </c>
      <c r="H40" s="7" t="s">
        <v>19</v>
      </c>
      <c r="I40" s="7"/>
      <c r="J40" s="10">
        <f ca="1">(TODAY()-G40)/365.25</f>
        <v>2.346338124572211</v>
      </c>
      <c r="K40" s="11">
        <v>25000</v>
      </c>
    </row>
    <row r="41" spans="1:11" x14ac:dyDescent="0.3">
      <c r="A41" s="2" t="s">
        <v>109</v>
      </c>
      <c r="B41" s="3" t="s">
        <v>110</v>
      </c>
      <c r="C41" s="3" t="s">
        <v>39</v>
      </c>
      <c r="D41" s="3" t="s">
        <v>40</v>
      </c>
      <c r="E41" s="2" t="s">
        <v>17</v>
      </c>
      <c r="F41" s="3" t="s">
        <v>18</v>
      </c>
      <c r="G41" s="4">
        <v>45152</v>
      </c>
      <c r="H41" s="2" t="s">
        <v>36</v>
      </c>
      <c r="I41" s="4">
        <v>46212</v>
      </c>
      <c r="J41" s="5">
        <f>(I41-G41)/365.25</f>
        <v>2.9021218343600275</v>
      </c>
      <c r="K41" s="6">
        <v>29000</v>
      </c>
    </row>
    <row r="42" spans="1:11" x14ac:dyDescent="0.3">
      <c r="A42" s="7" t="s">
        <v>111</v>
      </c>
      <c r="B42" s="8" t="s">
        <v>112</v>
      </c>
      <c r="C42" s="8" t="s">
        <v>43</v>
      </c>
      <c r="D42" s="8" t="s">
        <v>44</v>
      </c>
      <c r="E42" s="7" t="s">
        <v>24</v>
      </c>
      <c r="F42" s="8" t="s">
        <v>25</v>
      </c>
      <c r="G42" s="9">
        <v>45953</v>
      </c>
      <c r="H42" s="7" t="s">
        <v>36</v>
      </c>
      <c r="I42" s="9">
        <v>46128</v>
      </c>
      <c r="J42" s="10">
        <f>(I42-G42)/365.25</f>
        <v>0.4791238877481177</v>
      </c>
      <c r="K42" s="11">
        <v>13000</v>
      </c>
    </row>
    <row r="43" spans="1:11" x14ac:dyDescent="0.3">
      <c r="A43" s="2" t="s">
        <v>113</v>
      </c>
      <c r="B43" s="3" t="s">
        <v>114</v>
      </c>
      <c r="C43" s="3" t="s">
        <v>47</v>
      </c>
      <c r="D43" s="3" t="s">
        <v>48</v>
      </c>
      <c r="E43" s="2" t="s">
        <v>17</v>
      </c>
      <c r="F43" s="3" t="s">
        <v>30</v>
      </c>
      <c r="G43" s="4">
        <v>44341</v>
      </c>
      <c r="H43" s="2" t="s">
        <v>19</v>
      </c>
      <c r="I43" s="2"/>
      <c r="J43" s="5">
        <f ca="1">(TODAY()-G43)/365.25</f>
        <v>5.204654346338125</v>
      </c>
      <c r="K43" s="6">
        <v>29000</v>
      </c>
    </row>
    <row r="44" spans="1:11" x14ac:dyDescent="0.3">
      <c r="A44" s="7" t="s">
        <v>115</v>
      </c>
      <c r="B44" s="8" t="s">
        <v>116</v>
      </c>
      <c r="C44" s="8" t="s">
        <v>51</v>
      </c>
      <c r="D44" s="8" t="s">
        <v>52</v>
      </c>
      <c r="E44" s="7" t="s">
        <v>24</v>
      </c>
      <c r="F44" s="8" t="s">
        <v>35</v>
      </c>
      <c r="G44" s="9">
        <v>45284</v>
      </c>
      <c r="H44" s="7" t="s">
        <v>19</v>
      </c>
      <c r="I44" s="7"/>
      <c r="J44" s="10">
        <f ca="1">(TODAY()-G44)/365.25</f>
        <v>2.622861054072553</v>
      </c>
      <c r="K44" s="11">
        <v>19500</v>
      </c>
    </row>
  </sheetData>
  <mergeCells count="2">
    <mergeCell ref="A2:K2"/>
    <mergeCell ref="A1:K1"/>
  </mergeCells>
  <conditionalFormatting sqref="H5:H44">
    <cfRule type="cellIs" dxfId="1" priority="1" operator="equal">
      <formula>"Resigned"</formula>
    </cfRule>
    <cfRule type="cellIs" dxfId="0" priority="2" operator="equal">
      <formula>"Active"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showGridLines="0" tabSelected="1" topLeftCell="A2" workbookViewId="0">
      <selection sqref="A1:I1"/>
    </sheetView>
  </sheetViews>
  <sheetFormatPr defaultRowHeight="14.4" x14ac:dyDescent="0.3"/>
  <cols>
    <col min="1" max="1" width="16" customWidth="1"/>
    <col min="2" max="2" width="12" customWidth="1"/>
    <col min="3" max="3" width="11" customWidth="1"/>
    <col min="4" max="4" width="13" customWidth="1"/>
    <col min="5" max="5" width="4" customWidth="1"/>
    <col min="6" max="6" width="12" customWidth="1"/>
  </cols>
  <sheetData>
    <row r="1" spans="1:9" ht="30" customHeight="1" x14ac:dyDescent="0.3">
      <c r="A1" s="19" t="s">
        <v>117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7" t="s">
        <v>118</v>
      </c>
      <c r="B2" s="18"/>
      <c r="C2" s="18"/>
      <c r="D2" s="18"/>
      <c r="E2" s="18"/>
      <c r="F2" s="18"/>
      <c r="G2" s="18"/>
      <c r="H2" s="18"/>
      <c r="I2" s="18"/>
    </row>
    <row r="4" spans="1:9" x14ac:dyDescent="0.3">
      <c r="A4" s="12" t="s">
        <v>119</v>
      </c>
      <c r="B4" s="13">
        <f>COUNTA('Employee Master'!A5:A44)</f>
        <v>40</v>
      </c>
    </row>
    <row r="5" spans="1:9" x14ac:dyDescent="0.3">
      <c r="A5" s="12" t="s">
        <v>19</v>
      </c>
      <c r="B5" s="13">
        <f>COUNTIF('Employee Master'!H5:H44,"Active")</f>
        <v>33</v>
      </c>
    </row>
    <row r="6" spans="1:9" x14ac:dyDescent="0.3">
      <c r="A6" s="12" t="s">
        <v>36</v>
      </c>
      <c r="B6" s="13">
        <f>COUNTIF('Employee Master'!H5:H44,"Resigned")</f>
        <v>7</v>
      </c>
    </row>
    <row r="7" spans="1:9" x14ac:dyDescent="0.3">
      <c r="A7" s="12" t="s">
        <v>120</v>
      </c>
      <c r="B7" s="14">
        <f>B6/B4</f>
        <v>0.17499999999999999</v>
      </c>
    </row>
    <row r="8" spans="1:9" x14ac:dyDescent="0.3">
      <c r="A8" s="12" t="s">
        <v>121</v>
      </c>
      <c r="B8" s="15">
        <f ca="1">AVERAGE('Employee Master'!J5:J44)</f>
        <v>3.4778918548939091</v>
      </c>
    </row>
    <row r="9" spans="1:9" x14ac:dyDescent="0.3">
      <c r="A9" s="12" t="s">
        <v>122</v>
      </c>
      <c r="B9" s="16">
        <f>AVERAGE('Employee Master'!K5:K44)</f>
        <v>25350</v>
      </c>
    </row>
    <row r="10" spans="1:9" x14ac:dyDescent="0.3">
      <c r="A10" s="12" t="s">
        <v>123</v>
      </c>
      <c r="B10" s="14">
        <f>COUNTIF('Employee Master'!E5:E44,"F")/B4</f>
        <v>0.5</v>
      </c>
    </row>
    <row r="13" spans="1:9" ht="30" customHeight="1" x14ac:dyDescent="0.3">
      <c r="A13" s="1" t="s">
        <v>4</v>
      </c>
      <c r="B13" s="1" t="s">
        <v>124</v>
      </c>
      <c r="C13" s="1" t="s">
        <v>36</v>
      </c>
      <c r="D13" s="1" t="s">
        <v>122</v>
      </c>
    </row>
    <row r="14" spans="1:9" x14ac:dyDescent="0.3">
      <c r="A14" s="8" t="s">
        <v>15</v>
      </c>
      <c r="B14" s="7">
        <f>COUNTIF('Employee Master'!C5:C44,A14)</f>
        <v>5</v>
      </c>
      <c r="C14" s="7">
        <f>COUNTIFS('Employee Master'!C5:C44,A14,'Employee Master'!H5:H44,"Resigned")</f>
        <v>2</v>
      </c>
      <c r="D14" s="11">
        <f>AVERAGEIF('Employee Master'!C5:C44,A14,'Employee Master'!K5:K44)</f>
        <v>23500</v>
      </c>
    </row>
    <row r="15" spans="1:9" x14ac:dyDescent="0.3">
      <c r="A15" s="3" t="s">
        <v>22</v>
      </c>
      <c r="B15" s="2">
        <f>COUNTIF('Employee Master'!C5:C44,A15)</f>
        <v>5</v>
      </c>
      <c r="C15" s="2">
        <f>COUNTIFS('Employee Master'!C5:C44,A15,'Employee Master'!H5:H44,"Resigned")</f>
        <v>0</v>
      </c>
      <c r="D15" s="6">
        <f>AVERAGEIF('Employee Master'!C5:C44,A15,'Employee Master'!K5:K44)</f>
        <v>32900</v>
      </c>
    </row>
    <row r="16" spans="1:9" x14ac:dyDescent="0.3">
      <c r="A16" s="8" t="s">
        <v>28</v>
      </c>
      <c r="B16" s="7">
        <f>COUNTIF('Employee Master'!C5:C44,A16)</f>
        <v>5</v>
      </c>
      <c r="C16" s="7">
        <f>COUNTIFS('Employee Master'!C5:C44,A16,'Employee Master'!H5:H44,"Resigned")</f>
        <v>1</v>
      </c>
      <c r="D16" s="11">
        <f>AVERAGEIF('Employee Master'!C5:C44,A16,'Employee Master'!K5:K44)</f>
        <v>18600</v>
      </c>
    </row>
    <row r="17" spans="1:4" x14ac:dyDescent="0.3">
      <c r="A17" s="3" t="s">
        <v>33</v>
      </c>
      <c r="B17" s="2">
        <f>COUNTIF('Employee Master'!C5:C44,A17)</f>
        <v>5</v>
      </c>
      <c r="C17" s="2">
        <f>COUNTIFS('Employee Master'!C5:C44,A17,'Employee Master'!H5:H44,"Resigned")</f>
        <v>1</v>
      </c>
      <c r="D17" s="6">
        <f>AVERAGEIF('Employee Master'!C5:C44,A17,'Employee Master'!K5:K44)</f>
        <v>25400</v>
      </c>
    </row>
    <row r="18" spans="1:4" x14ac:dyDescent="0.3">
      <c r="A18" s="8" t="s">
        <v>39</v>
      </c>
      <c r="B18" s="7">
        <f>COUNTIF('Employee Master'!C5:C44,A18)</f>
        <v>5</v>
      </c>
      <c r="C18" s="7">
        <f>COUNTIFS('Employee Master'!C5:C44,A18,'Employee Master'!H5:H44,"Resigned")</f>
        <v>1</v>
      </c>
      <c r="D18" s="11">
        <f>AVERAGEIF('Employee Master'!C5:C44,A18,'Employee Master'!K5:K44)</f>
        <v>28900</v>
      </c>
    </row>
    <row r="19" spans="1:4" x14ac:dyDescent="0.3">
      <c r="A19" s="3" t="s">
        <v>43</v>
      </c>
      <c r="B19" s="2">
        <f>COUNTIF('Employee Master'!C5:C44,A19)</f>
        <v>5</v>
      </c>
      <c r="C19" s="2">
        <f>COUNTIFS('Employee Master'!C5:C44,A19,'Employee Master'!H5:H44,"Resigned")</f>
        <v>1</v>
      </c>
      <c r="D19" s="6">
        <f>AVERAGEIF('Employee Master'!C5:C44,A19,'Employee Master'!K5:K44)</f>
        <v>25800</v>
      </c>
    </row>
    <row r="20" spans="1:4" x14ac:dyDescent="0.3">
      <c r="A20" s="8" t="s">
        <v>47</v>
      </c>
      <c r="B20" s="7">
        <f>COUNTIF('Employee Master'!C5:C44,A20)</f>
        <v>5</v>
      </c>
      <c r="C20" s="7">
        <f>COUNTIFS('Employee Master'!C5:C44,A20,'Employee Master'!H5:H44,"Resigned")</f>
        <v>1</v>
      </c>
      <c r="D20" s="11">
        <f>AVERAGEIF('Employee Master'!C5:C44,A20,'Employee Master'!K5:K44)</f>
        <v>24300</v>
      </c>
    </row>
    <row r="21" spans="1:4" x14ac:dyDescent="0.3">
      <c r="A21" s="3" t="s">
        <v>51</v>
      </c>
      <c r="B21" s="2">
        <f>COUNTIF('Employee Master'!C5:C44,A21)</f>
        <v>5</v>
      </c>
      <c r="C21" s="2">
        <f>COUNTIFS('Employee Master'!C5:C44,A21,'Employee Master'!H5:H44,"Resigned")</f>
        <v>0</v>
      </c>
      <c r="D21" s="6">
        <f>AVERAGEIF('Employee Master'!C5:C44,A21,'Employee Master'!K5:K44)</f>
        <v>23400</v>
      </c>
    </row>
  </sheetData>
  <mergeCells count="2">
    <mergeCell ref="A1:I1"/>
    <mergeCell ref="A2:I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Master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 Mamabolo</cp:lastModifiedBy>
  <dcterms:created xsi:type="dcterms:W3CDTF">2026-08-08T23:24:10Z</dcterms:created>
  <dcterms:modified xsi:type="dcterms:W3CDTF">2026-08-08T23:31:51Z</dcterms:modified>
</cp:coreProperties>
</file>