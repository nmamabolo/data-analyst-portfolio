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sheet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d dd-mmm"/>
    <numFmt numFmtId="166" formatCode="hh:mm"/>
    <numFmt numFmtId="167" formatCode="0.0"/>
    <numFmt numFmtId="168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EAF0F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/>
    </xf>
    <xf numFmtId="165" fontId="4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167" fontId="4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/>
    </xf>
    <xf numFmtId="165" fontId="4" fillId="4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167" fontId="4" fillId="4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8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dxfs count="3"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13" customWidth="1" min="3" max="3"/>
    <col width="9" customWidth="1" min="4" max="4"/>
    <col width="9" customWidth="1" min="5" max="5"/>
    <col width="13" customWidth="1" min="6" max="6"/>
    <col width="10" customWidth="1" min="7" max="7"/>
    <col width="8" customWidth="1" min="8" max="8"/>
  </cols>
  <sheetData>
    <row r="1" ht="30" customHeight="1">
      <c r="A1" s="1" t="inlineStr">
        <is>
          <t>Attendance &amp; Timesheet Tracker — Week of 06 Jul 2026</t>
        </is>
      </c>
    </row>
    <row r="2">
      <c r="A2" s="2" t="inlineStr">
        <is>
          <t>Shift start 09:00. Late = clock-in after 09:00. Hours auto-calculated from in/out times.</t>
        </is>
      </c>
    </row>
    <row r="4" ht="30" customHeight="1">
      <c r="A4" s="3" t="inlineStr">
        <is>
          <t>Emp ID</t>
        </is>
      </c>
      <c r="B4" s="3" t="inlineStr">
        <is>
          <t>Employee</t>
        </is>
      </c>
      <c r="C4" s="3" t="inlineStr">
        <is>
          <t>Date</t>
        </is>
      </c>
      <c r="D4" s="3" t="inlineStr">
        <is>
          <t>Time In</t>
        </is>
      </c>
      <c r="E4" s="3" t="inlineStr">
        <is>
          <t>Time Out</t>
        </is>
      </c>
      <c r="F4" s="3" t="inlineStr">
        <is>
          <t>Hours Worked</t>
        </is>
      </c>
      <c r="G4" s="3" t="inlineStr">
        <is>
          <t>Status</t>
        </is>
      </c>
      <c r="H4" s="3" t="inlineStr">
        <is>
          <t>Late?</t>
        </is>
      </c>
    </row>
    <row r="5">
      <c r="A5" s="4" t="inlineStr">
        <is>
          <t>EMP1001</t>
        </is>
      </c>
      <c r="B5" s="5" t="inlineStr">
        <is>
          <t>Thabo Mokoena</t>
        </is>
      </c>
      <c r="C5" s="6" t="n">
        <v>46209</v>
      </c>
      <c r="D5" s="7" t="n">
        <v>0.3847222222222222</v>
      </c>
      <c r="E5" s="7" t="n">
        <v>0.7388888888888889</v>
      </c>
      <c r="F5" s="8">
        <f>(E5-D5)*24</f>
        <v/>
      </c>
      <c r="G5" s="4">
        <f>IF(D5="","Absent",IF(D5&gt;TIME(9,0,0),"Late","Present"))</f>
        <v/>
      </c>
      <c r="H5" s="4">
        <f>IF(AND(D5&lt;&gt;"",D5&gt;TIME(9,0,0)),"Yes","No")</f>
        <v/>
      </c>
    </row>
    <row r="6">
      <c r="A6" s="9" t="inlineStr">
        <is>
          <t>EMP1001</t>
        </is>
      </c>
      <c r="B6" s="10" t="inlineStr">
        <is>
          <t>Thabo Mokoena</t>
        </is>
      </c>
      <c r="C6" s="11" t="n">
        <v>46210</v>
      </c>
      <c r="D6" s="12" t="n">
        <v>0.3819444444444444</v>
      </c>
      <c r="E6" s="12" t="n">
        <v>0.7097222222222223</v>
      </c>
      <c r="F6" s="13">
        <f>(E6-D6)*24</f>
        <v/>
      </c>
      <c r="G6" s="9">
        <f>IF(D6="","Absent",IF(D6&gt;TIME(9,0,0),"Late","Present"))</f>
        <v/>
      </c>
      <c r="H6" s="9">
        <f>IF(AND(D6&lt;&gt;"",D6&gt;TIME(9,0,0)),"Yes","No")</f>
        <v/>
      </c>
    </row>
    <row r="7">
      <c r="A7" s="4" t="inlineStr">
        <is>
          <t>EMP1001</t>
        </is>
      </c>
      <c r="B7" s="5" t="inlineStr">
        <is>
          <t>Thabo Mokoena</t>
        </is>
      </c>
      <c r="C7" s="6" t="n">
        <v>46211</v>
      </c>
      <c r="D7" s="7" t="n">
        <v>0.3680555555555556</v>
      </c>
      <c r="E7" s="7" t="n">
        <v>0.7166666666666667</v>
      </c>
      <c r="F7" s="8">
        <f>(E7-D7)*24</f>
        <v/>
      </c>
      <c r="G7" s="4">
        <f>IF(D7="","Absent",IF(D7&gt;TIME(9,0,0),"Late","Present"))</f>
        <v/>
      </c>
      <c r="H7" s="4">
        <f>IF(AND(D7&lt;&gt;"",D7&gt;TIME(9,0,0)),"Yes","No")</f>
        <v/>
      </c>
    </row>
    <row r="8">
      <c r="A8" s="9" t="inlineStr">
        <is>
          <t>EMP1001</t>
        </is>
      </c>
      <c r="B8" s="10" t="inlineStr">
        <is>
          <t>Thabo Mokoena</t>
        </is>
      </c>
      <c r="C8" s="11" t="n">
        <v>46212</v>
      </c>
      <c r="D8" s="12" t="n">
        <v>0.3743055555555556</v>
      </c>
      <c r="E8" s="12" t="n">
        <v>0.7375</v>
      </c>
      <c r="F8" s="13">
        <f>(E8-D8)*24</f>
        <v/>
      </c>
      <c r="G8" s="9">
        <f>IF(D8="","Absent",IF(D8&gt;TIME(9,0,0),"Late","Present"))</f>
        <v/>
      </c>
      <c r="H8" s="9">
        <f>IF(AND(D8&lt;&gt;"",D8&gt;TIME(9,0,0)),"Yes","No")</f>
        <v/>
      </c>
    </row>
    <row r="9">
      <c r="A9" s="4" t="inlineStr">
        <is>
          <t>EMP1001</t>
        </is>
      </c>
      <c r="B9" s="5" t="inlineStr">
        <is>
          <t>Thabo Mokoena</t>
        </is>
      </c>
      <c r="C9" s="6" t="n">
        <v>46213</v>
      </c>
      <c r="D9" s="7" t="n">
        <v>0.3743055555555556</v>
      </c>
      <c r="E9" s="7" t="n">
        <v>0.7395833333333334</v>
      </c>
      <c r="F9" s="8">
        <f>(E9-D9)*24</f>
        <v/>
      </c>
      <c r="G9" s="4">
        <f>IF(D9="","Absent",IF(D9&gt;TIME(9,0,0),"Late","Present"))</f>
        <v/>
      </c>
      <c r="H9" s="4">
        <f>IF(AND(D9&lt;&gt;"",D9&gt;TIME(9,0,0)),"Yes","No")</f>
        <v/>
      </c>
    </row>
    <row r="10">
      <c r="A10" s="9" t="inlineStr">
        <is>
          <t>EMP1002</t>
        </is>
      </c>
      <c r="B10" s="10" t="inlineStr">
        <is>
          <t>Lerato Nkosi</t>
        </is>
      </c>
      <c r="C10" s="11" t="n">
        <v>46209</v>
      </c>
      <c r="D10" s="12" t="n">
        <v>0.3881944444444445</v>
      </c>
      <c r="E10" s="12" t="n">
        <v>0.7173611111111111</v>
      </c>
      <c r="F10" s="13">
        <f>(E10-D10)*24</f>
        <v/>
      </c>
      <c r="G10" s="9">
        <f>IF(D10="","Absent",IF(D10&gt;TIME(9,0,0),"Late","Present"))</f>
        <v/>
      </c>
      <c r="H10" s="9">
        <f>IF(AND(D10&lt;&gt;"",D10&gt;TIME(9,0,0)),"Yes","No")</f>
        <v/>
      </c>
    </row>
    <row r="11">
      <c r="A11" s="4" t="inlineStr">
        <is>
          <t>EMP1002</t>
        </is>
      </c>
      <c r="B11" s="5" t="inlineStr">
        <is>
          <t>Lerato Nkosi</t>
        </is>
      </c>
      <c r="C11" s="6" t="n">
        <v>46210</v>
      </c>
      <c r="D11" s="7" t="n">
        <v>0.3826388888888889</v>
      </c>
      <c r="E11" s="7" t="n">
        <v>0.7361111111111112</v>
      </c>
      <c r="F11" s="8">
        <f>(E11-D11)*24</f>
        <v/>
      </c>
      <c r="G11" s="4">
        <f>IF(D11="","Absent",IF(D11&gt;TIME(9,0,0),"Late","Present"))</f>
        <v/>
      </c>
      <c r="H11" s="4">
        <f>IF(AND(D11&lt;&gt;"",D11&gt;TIME(9,0,0)),"Yes","No")</f>
        <v/>
      </c>
    </row>
    <row r="12">
      <c r="A12" s="9" t="inlineStr">
        <is>
          <t>EMP1002</t>
        </is>
      </c>
      <c r="B12" s="10" t="inlineStr">
        <is>
          <t>Lerato Nkosi</t>
        </is>
      </c>
      <c r="C12" s="11" t="n">
        <v>46211</v>
      </c>
      <c r="D12" s="12" t="n">
        <v>0.3659722222222222</v>
      </c>
      <c r="E12" s="12" t="n">
        <v>0.7125</v>
      </c>
      <c r="F12" s="13">
        <f>(E12-D12)*24</f>
        <v/>
      </c>
      <c r="G12" s="9">
        <f>IF(D12="","Absent",IF(D12&gt;TIME(9,0,0),"Late","Present"))</f>
        <v/>
      </c>
      <c r="H12" s="9">
        <f>IF(AND(D12&lt;&gt;"",D12&gt;TIME(9,0,0)),"Yes","No")</f>
        <v/>
      </c>
    </row>
    <row r="13">
      <c r="A13" s="4" t="inlineStr">
        <is>
          <t>EMP1002</t>
        </is>
      </c>
      <c r="B13" s="5" t="inlineStr">
        <is>
          <t>Lerato Nkosi</t>
        </is>
      </c>
      <c r="C13" s="6" t="n">
        <v>46212</v>
      </c>
      <c r="D13" s="7" t="n">
        <v>0.3673611111111111</v>
      </c>
      <c r="E13" s="7" t="n">
        <v>0.7222222222222222</v>
      </c>
      <c r="F13" s="8">
        <f>(E13-D13)*24</f>
        <v/>
      </c>
      <c r="G13" s="4">
        <f>IF(D13="","Absent",IF(D13&gt;TIME(9,0,0),"Late","Present"))</f>
        <v/>
      </c>
      <c r="H13" s="4">
        <f>IF(AND(D13&lt;&gt;"",D13&gt;TIME(9,0,0)),"Yes","No")</f>
        <v/>
      </c>
    </row>
    <row r="14">
      <c r="A14" s="9" t="inlineStr">
        <is>
          <t>EMP1002</t>
        </is>
      </c>
      <c r="B14" s="10" t="inlineStr">
        <is>
          <t>Lerato Nkosi</t>
        </is>
      </c>
      <c r="C14" s="11" t="n">
        <v>46213</v>
      </c>
      <c r="D14" s="12" t="n">
        <v>0.3680555555555556</v>
      </c>
      <c r="E14" s="12" t="n">
        <v>0.7194444444444444</v>
      </c>
      <c r="F14" s="13">
        <f>(E14-D14)*24</f>
        <v/>
      </c>
      <c r="G14" s="9">
        <f>IF(D14="","Absent",IF(D14&gt;TIME(9,0,0),"Late","Present"))</f>
        <v/>
      </c>
      <c r="H14" s="9">
        <f>IF(AND(D14&lt;&gt;"",D14&gt;TIME(9,0,0)),"Yes","No")</f>
        <v/>
      </c>
    </row>
    <row r="15">
      <c r="A15" s="4" t="inlineStr">
        <is>
          <t>EMP1003</t>
        </is>
      </c>
      <c r="B15" s="5" t="inlineStr">
        <is>
          <t>Sipho Dlamini</t>
        </is>
      </c>
      <c r="C15" s="6" t="n">
        <v>46209</v>
      </c>
      <c r="D15" s="7" t="n">
        <v>0.3951388888888889</v>
      </c>
      <c r="E15" s="7" t="n">
        <v>0.7222222222222222</v>
      </c>
      <c r="F15" s="8">
        <f>(E15-D15)*24</f>
        <v/>
      </c>
      <c r="G15" s="4">
        <f>IF(D15="","Absent",IF(D15&gt;TIME(9,0,0),"Late","Present"))</f>
        <v/>
      </c>
      <c r="H15" s="4">
        <f>IF(AND(D15&lt;&gt;"",D15&gt;TIME(9,0,0)),"Yes","No")</f>
        <v/>
      </c>
    </row>
    <row r="16">
      <c r="A16" s="9" t="inlineStr">
        <is>
          <t>EMP1003</t>
        </is>
      </c>
      <c r="B16" s="10" t="inlineStr">
        <is>
          <t>Sipho Dlamini</t>
        </is>
      </c>
      <c r="C16" s="11" t="n">
        <v>46210</v>
      </c>
      <c r="D16" s="12" t="n">
        <v>0.3694444444444445</v>
      </c>
      <c r="E16" s="12" t="n">
        <v>0.7208333333333333</v>
      </c>
      <c r="F16" s="13">
        <f>(E16-D16)*24</f>
        <v/>
      </c>
      <c r="G16" s="9">
        <f>IF(D16="","Absent",IF(D16&gt;TIME(9,0,0),"Late","Present"))</f>
        <v/>
      </c>
      <c r="H16" s="9">
        <f>IF(AND(D16&lt;&gt;"",D16&gt;TIME(9,0,0)),"Yes","No")</f>
        <v/>
      </c>
    </row>
    <row r="17">
      <c r="A17" s="4" t="inlineStr">
        <is>
          <t>EMP1003</t>
        </is>
      </c>
      <c r="B17" s="5" t="inlineStr">
        <is>
          <t>Sipho Dlamini</t>
        </is>
      </c>
      <c r="C17" s="6" t="n">
        <v>46211</v>
      </c>
      <c r="D17" s="7" t="n">
        <v>0.3972222222222222</v>
      </c>
      <c r="E17" s="7" t="n">
        <v>0.7090277777777778</v>
      </c>
      <c r="F17" s="8">
        <f>(E17-D17)*24</f>
        <v/>
      </c>
      <c r="G17" s="4">
        <f>IF(D17="","Absent",IF(D17&gt;TIME(9,0,0),"Late","Present"))</f>
        <v/>
      </c>
      <c r="H17" s="4">
        <f>IF(AND(D17&lt;&gt;"",D17&gt;TIME(9,0,0)),"Yes","No")</f>
        <v/>
      </c>
    </row>
    <row r="18">
      <c r="A18" s="9" t="inlineStr">
        <is>
          <t>EMP1003</t>
        </is>
      </c>
      <c r="B18" s="10" t="inlineStr">
        <is>
          <t>Sipho Dlamini</t>
        </is>
      </c>
      <c r="C18" s="11" t="n">
        <v>46212</v>
      </c>
      <c r="D18" s="12" t="n">
        <v>0.3680555555555556</v>
      </c>
      <c r="E18" s="12" t="n">
        <v>0.7291666666666666</v>
      </c>
      <c r="F18" s="13">
        <f>(E18-D18)*24</f>
        <v/>
      </c>
      <c r="G18" s="9">
        <f>IF(D18="","Absent",IF(D18&gt;TIME(9,0,0),"Late","Present"))</f>
        <v/>
      </c>
      <c r="H18" s="9">
        <f>IF(AND(D18&lt;&gt;"",D18&gt;TIME(9,0,0)),"Yes","No")</f>
        <v/>
      </c>
    </row>
    <row r="19">
      <c r="A19" s="4" t="inlineStr">
        <is>
          <t>EMP1003</t>
        </is>
      </c>
      <c r="B19" s="5" t="inlineStr">
        <is>
          <t>Sipho Dlamini</t>
        </is>
      </c>
      <c r="C19" s="6" t="n">
        <v>46213</v>
      </c>
      <c r="D19" s="7" t="n">
        <v>0.3666666666666666</v>
      </c>
      <c r="E19" s="7" t="n">
        <v>0.7395833333333334</v>
      </c>
      <c r="F19" s="8">
        <f>(E19-D19)*24</f>
        <v/>
      </c>
      <c r="G19" s="4">
        <f>IF(D19="","Absent",IF(D19&gt;TIME(9,0,0),"Late","Present"))</f>
        <v/>
      </c>
      <c r="H19" s="4">
        <f>IF(AND(D19&lt;&gt;"",D19&gt;TIME(9,0,0)),"Yes","No")</f>
        <v/>
      </c>
    </row>
    <row r="20">
      <c r="A20" s="9" t="inlineStr">
        <is>
          <t>EMP1004</t>
        </is>
      </c>
      <c r="B20" s="10" t="inlineStr">
        <is>
          <t>Naledi Molefe</t>
        </is>
      </c>
      <c r="C20" s="11" t="n">
        <v>46209</v>
      </c>
      <c r="D20" s="12" t="n">
        <v>0.3916666666666667</v>
      </c>
      <c r="E20" s="12" t="n">
        <v>0.7152777777777778</v>
      </c>
      <c r="F20" s="13">
        <f>(E20-D20)*24</f>
        <v/>
      </c>
      <c r="G20" s="9">
        <f>IF(D20="","Absent",IF(D20&gt;TIME(9,0,0),"Late","Present"))</f>
        <v/>
      </c>
      <c r="H20" s="9">
        <f>IF(AND(D20&lt;&gt;"",D20&gt;TIME(9,0,0)),"Yes","No")</f>
        <v/>
      </c>
    </row>
    <row r="21">
      <c r="A21" s="4" t="inlineStr">
        <is>
          <t>EMP1004</t>
        </is>
      </c>
      <c r="B21" s="5" t="inlineStr">
        <is>
          <t>Naledi Molefe</t>
        </is>
      </c>
      <c r="C21" s="6" t="n">
        <v>46210</v>
      </c>
      <c r="D21" s="7" t="n">
        <v>0.3673611111111111</v>
      </c>
      <c r="E21" s="7" t="n">
        <v>0.7104166666666667</v>
      </c>
      <c r="F21" s="8">
        <f>(E21-D21)*24</f>
        <v/>
      </c>
      <c r="G21" s="4">
        <f>IF(D21="","Absent",IF(D21&gt;TIME(9,0,0),"Late","Present"))</f>
        <v/>
      </c>
      <c r="H21" s="4">
        <f>IF(AND(D21&lt;&gt;"",D21&gt;TIME(9,0,0)),"Yes","No")</f>
        <v/>
      </c>
    </row>
    <row r="22">
      <c r="A22" s="9" t="inlineStr">
        <is>
          <t>EMP1004</t>
        </is>
      </c>
      <c r="B22" s="10" t="inlineStr">
        <is>
          <t>Naledi Molefe</t>
        </is>
      </c>
      <c r="C22" s="11" t="n">
        <v>46211</v>
      </c>
      <c r="D22" s="9" t="inlineStr"/>
      <c r="E22" s="9" t="inlineStr"/>
      <c r="F22" s="13" t="n">
        <v>0</v>
      </c>
      <c r="G22" s="9" t="inlineStr">
        <is>
          <t>Absent</t>
        </is>
      </c>
      <c r="H22" s="9" t="inlineStr">
        <is>
          <t>—</t>
        </is>
      </c>
    </row>
    <row r="23">
      <c r="A23" s="4" t="inlineStr">
        <is>
          <t>EMP1004</t>
        </is>
      </c>
      <c r="B23" s="5" t="inlineStr">
        <is>
          <t>Naledi Molefe</t>
        </is>
      </c>
      <c r="C23" s="6" t="n">
        <v>46212</v>
      </c>
      <c r="D23" s="7" t="n">
        <v>0.3729166666666667</v>
      </c>
      <c r="E23" s="7" t="n">
        <v>0.7159722222222222</v>
      </c>
      <c r="F23" s="8">
        <f>(E23-D23)*24</f>
        <v/>
      </c>
      <c r="G23" s="4">
        <f>IF(D23="","Absent",IF(D23&gt;TIME(9,0,0),"Late","Present"))</f>
        <v/>
      </c>
      <c r="H23" s="4">
        <f>IF(AND(D23&lt;&gt;"",D23&gt;TIME(9,0,0)),"Yes","No")</f>
        <v/>
      </c>
    </row>
    <row r="24">
      <c r="A24" s="9" t="inlineStr">
        <is>
          <t>EMP1004</t>
        </is>
      </c>
      <c r="B24" s="10" t="inlineStr">
        <is>
          <t>Naledi Molefe</t>
        </is>
      </c>
      <c r="C24" s="11" t="n">
        <v>46213</v>
      </c>
      <c r="D24" s="12" t="n">
        <v>0.3736111111111111</v>
      </c>
      <c r="E24" s="12" t="n">
        <v>0.7305555555555555</v>
      </c>
      <c r="F24" s="13">
        <f>(E24-D24)*24</f>
        <v/>
      </c>
      <c r="G24" s="9">
        <f>IF(D24="","Absent",IF(D24&gt;TIME(9,0,0),"Late","Present"))</f>
        <v/>
      </c>
      <c r="H24" s="9">
        <f>IF(AND(D24&lt;&gt;"",D24&gt;TIME(9,0,0)),"Yes","No")</f>
        <v/>
      </c>
    </row>
    <row r="25">
      <c r="A25" s="4" t="inlineStr">
        <is>
          <t>EMP1005</t>
        </is>
      </c>
      <c r="B25" s="5" t="inlineStr">
        <is>
          <t>Kagiso Khumalo</t>
        </is>
      </c>
      <c r="C25" s="6" t="n">
        <v>46209</v>
      </c>
      <c r="D25" s="7" t="n">
        <v>0.3673611111111111</v>
      </c>
      <c r="E25" s="7" t="n">
        <v>0.7173611111111111</v>
      </c>
      <c r="F25" s="8">
        <f>(E25-D25)*24</f>
        <v/>
      </c>
      <c r="G25" s="4">
        <f>IF(D25="","Absent",IF(D25&gt;TIME(9,0,0),"Late","Present"))</f>
        <v/>
      </c>
      <c r="H25" s="4">
        <f>IF(AND(D25&lt;&gt;"",D25&gt;TIME(9,0,0)),"Yes","No")</f>
        <v/>
      </c>
    </row>
    <row r="26">
      <c r="A26" s="9" t="inlineStr">
        <is>
          <t>EMP1005</t>
        </is>
      </c>
      <c r="B26" s="10" t="inlineStr">
        <is>
          <t>Kagiso Khumalo</t>
        </is>
      </c>
      <c r="C26" s="11" t="n">
        <v>46210</v>
      </c>
      <c r="D26" s="12" t="n">
        <v>0.3861111111111111</v>
      </c>
      <c r="E26" s="12" t="n">
        <v>0.7131944444444445</v>
      </c>
      <c r="F26" s="13">
        <f>(E26-D26)*24</f>
        <v/>
      </c>
      <c r="G26" s="9">
        <f>IF(D26="","Absent",IF(D26&gt;TIME(9,0,0),"Late","Present"))</f>
        <v/>
      </c>
      <c r="H26" s="9">
        <f>IF(AND(D26&lt;&gt;"",D26&gt;TIME(9,0,0)),"Yes","No")</f>
        <v/>
      </c>
    </row>
    <row r="27">
      <c r="A27" s="4" t="inlineStr">
        <is>
          <t>EMP1005</t>
        </is>
      </c>
      <c r="B27" s="5" t="inlineStr">
        <is>
          <t>Kagiso Khumalo</t>
        </is>
      </c>
      <c r="C27" s="6" t="n">
        <v>46211</v>
      </c>
      <c r="D27" s="7" t="n">
        <v>0.3694444444444445</v>
      </c>
      <c r="E27" s="7" t="n">
        <v>0.7388888888888889</v>
      </c>
      <c r="F27" s="8">
        <f>(E27-D27)*24</f>
        <v/>
      </c>
      <c r="G27" s="4">
        <f>IF(D27="","Absent",IF(D27&gt;TIME(9,0,0),"Late","Present"))</f>
        <v/>
      </c>
      <c r="H27" s="4">
        <f>IF(AND(D27&lt;&gt;"",D27&gt;TIME(9,0,0)),"Yes","No")</f>
        <v/>
      </c>
    </row>
    <row r="28">
      <c r="A28" s="9" t="inlineStr">
        <is>
          <t>EMP1005</t>
        </is>
      </c>
      <c r="B28" s="10" t="inlineStr">
        <is>
          <t>Kagiso Khumalo</t>
        </is>
      </c>
      <c r="C28" s="11" t="n">
        <v>46212</v>
      </c>
      <c r="D28" s="12" t="n">
        <v>0.3930555555555555</v>
      </c>
      <c r="E28" s="12" t="n">
        <v>0.7236111111111111</v>
      </c>
      <c r="F28" s="13">
        <f>(E28-D28)*24</f>
        <v/>
      </c>
      <c r="G28" s="9">
        <f>IF(D28="","Absent",IF(D28&gt;TIME(9,0,0),"Late","Present"))</f>
        <v/>
      </c>
      <c r="H28" s="9">
        <f>IF(AND(D28&lt;&gt;"",D28&gt;TIME(9,0,0)),"Yes","No")</f>
        <v/>
      </c>
    </row>
    <row r="29">
      <c r="A29" s="4" t="inlineStr">
        <is>
          <t>EMP1005</t>
        </is>
      </c>
      <c r="B29" s="5" t="inlineStr">
        <is>
          <t>Kagiso Khumalo</t>
        </is>
      </c>
      <c r="C29" s="6" t="n">
        <v>46213</v>
      </c>
      <c r="D29" s="7" t="n">
        <v>0.3743055555555556</v>
      </c>
      <c r="E29" s="7" t="n">
        <v>0.7118055555555556</v>
      </c>
      <c r="F29" s="8">
        <f>(E29-D29)*24</f>
        <v/>
      </c>
      <c r="G29" s="4">
        <f>IF(D29="","Absent",IF(D29&gt;TIME(9,0,0),"Late","Present"))</f>
        <v/>
      </c>
      <c r="H29" s="4">
        <f>IF(AND(D29&lt;&gt;"",D29&gt;TIME(9,0,0)),"Yes","No")</f>
        <v/>
      </c>
    </row>
    <row r="30">
      <c r="A30" s="9" t="inlineStr">
        <is>
          <t>EMP1006</t>
        </is>
      </c>
      <c r="B30" s="10" t="inlineStr">
        <is>
          <t>Zanele Mahlangu</t>
        </is>
      </c>
      <c r="C30" s="11" t="n">
        <v>46209</v>
      </c>
      <c r="D30" s="12" t="n">
        <v>0.3680555555555556</v>
      </c>
      <c r="E30" s="12" t="n">
        <v>0.7173611111111111</v>
      </c>
      <c r="F30" s="13">
        <f>(E30-D30)*24</f>
        <v/>
      </c>
      <c r="G30" s="9">
        <f>IF(D30="","Absent",IF(D30&gt;TIME(9,0,0),"Late","Present"))</f>
        <v/>
      </c>
      <c r="H30" s="9">
        <f>IF(AND(D30&lt;&gt;"",D30&gt;TIME(9,0,0)),"Yes","No")</f>
        <v/>
      </c>
    </row>
    <row r="31">
      <c r="A31" s="4" t="inlineStr">
        <is>
          <t>EMP1006</t>
        </is>
      </c>
      <c r="B31" s="5" t="inlineStr">
        <is>
          <t>Zanele Mahlangu</t>
        </is>
      </c>
      <c r="C31" s="6" t="n">
        <v>46210</v>
      </c>
      <c r="D31" s="7" t="n">
        <v>0.3701388888888889</v>
      </c>
      <c r="E31" s="7" t="n">
        <v>0.7305555555555555</v>
      </c>
      <c r="F31" s="8">
        <f>(E31-D31)*24</f>
        <v/>
      </c>
      <c r="G31" s="4">
        <f>IF(D31="","Absent",IF(D31&gt;TIME(9,0,0),"Late","Present"))</f>
        <v/>
      </c>
      <c r="H31" s="4">
        <f>IF(AND(D31&lt;&gt;"",D31&gt;TIME(9,0,0)),"Yes","No")</f>
        <v/>
      </c>
    </row>
    <row r="32">
      <c r="A32" s="9" t="inlineStr">
        <is>
          <t>EMP1006</t>
        </is>
      </c>
      <c r="B32" s="10" t="inlineStr">
        <is>
          <t>Zanele Mahlangu</t>
        </is>
      </c>
      <c r="C32" s="11" t="n">
        <v>46211</v>
      </c>
      <c r="D32" s="12" t="n">
        <v>0.3715277777777778</v>
      </c>
      <c r="E32" s="12" t="n">
        <v>0.7180555555555556</v>
      </c>
      <c r="F32" s="13">
        <f>(E32-D32)*24</f>
        <v/>
      </c>
      <c r="G32" s="9">
        <f>IF(D32="","Absent",IF(D32&gt;TIME(9,0,0),"Late","Present"))</f>
        <v/>
      </c>
      <c r="H32" s="9">
        <f>IF(AND(D32&lt;&gt;"",D32&gt;TIME(9,0,0)),"Yes","No")</f>
        <v/>
      </c>
    </row>
    <row r="33">
      <c r="A33" s="4" t="inlineStr">
        <is>
          <t>EMP1006</t>
        </is>
      </c>
      <c r="B33" s="5" t="inlineStr">
        <is>
          <t>Zanele Mahlangu</t>
        </is>
      </c>
      <c r="C33" s="6" t="n">
        <v>46212</v>
      </c>
      <c r="D33" s="7" t="n">
        <v>0.3805555555555555</v>
      </c>
      <c r="E33" s="7" t="n">
        <v>0.7236111111111111</v>
      </c>
      <c r="F33" s="8">
        <f>(E33-D33)*24</f>
        <v/>
      </c>
      <c r="G33" s="4">
        <f>IF(D33="","Absent",IF(D33&gt;TIME(9,0,0),"Late","Present"))</f>
        <v/>
      </c>
      <c r="H33" s="4">
        <f>IF(AND(D33&lt;&gt;"",D33&gt;TIME(9,0,0)),"Yes","No")</f>
        <v/>
      </c>
    </row>
    <row r="34">
      <c r="A34" s="9" t="inlineStr">
        <is>
          <t>EMP1006</t>
        </is>
      </c>
      <c r="B34" s="10" t="inlineStr">
        <is>
          <t>Zanele Mahlangu</t>
        </is>
      </c>
      <c r="C34" s="11" t="n">
        <v>46213</v>
      </c>
      <c r="D34" s="12" t="n">
        <v>0.3736111111111111</v>
      </c>
      <c r="E34" s="12" t="n">
        <v>0.7277777777777777</v>
      </c>
      <c r="F34" s="13">
        <f>(E34-D34)*24</f>
        <v/>
      </c>
      <c r="G34" s="9">
        <f>IF(D34="","Absent",IF(D34&gt;TIME(9,0,0),"Late","Present"))</f>
        <v/>
      </c>
      <c r="H34" s="9">
        <f>IF(AND(D34&lt;&gt;"",D34&gt;TIME(9,0,0)),"Yes","No")</f>
        <v/>
      </c>
    </row>
    <row r="35">
      <c r="A35" s="4" t="inlineStr">
        <is>
          <t>EMP1007</t>
        </is>
      </c>
      <c r="B35" s="5" t="inlineStr">
        <is>
          <t>Tumelo Sithole</t>
        </is>
      </c>
      <c r="C35" s="6" t="n">
        <v>46209</v>
      </c>
      <c r="D35" s="7" t="n">
        <v>0.3659722222222222</v>
      </c>
      <c r="E35" s="7" t="n">
        <v>0.7284722222222222</v>
      </c>
      <c r="F35" s="8">
        <f>(E35-D35)*24</f>
        <v/>
      </c>
      <c r="G35" s="4">
        <f>IF(D35="","Absent",IF(D35&gt;TIME(9,0,0),"Late","Present"))</f>
        <v/>
      </c>
      <c r="H35" s="4">
        <f>IF(AND(D35&lt;&gt;"",D35&gt;TIME(9,0,0)),"Yes","No")</f>
        <v/>
      </c>
    </row>
    <row r="36">
      <c r="A36" s="9" t="inlineStr">
        <is>
          <t>EMP1007</t>
        </is>
      </c>
      <c r="B36" s="10" t="inlineStr">
        <is>
          <t>Tumelo Sithole</t>
        </is>
      </c>
      <c r="C36" s="11" t="n">
        <v>46210</v>
      </c>
      <c r="D36" s="12" t="n">
        <v>0.3708333333333333</v>
      </c>
      <c r="E36" s="12" t="n">
        <v>0.7180555555555556</v>
      </c>
      <c r="F36" s="13">
        <f>(E36-D36)*24</f>
        <v/>
      </c>
      <c r="G36" s="9">
        <f>IF(D36="","Absent",IF(D36&gt;TIME(9,0,0),"Late","Present"))</f>
        <v/>
      </c>
      <c r="H36" s="9">
        <f>IF(AND(D36&lt;&gt;"",D36&gt;TIME(9,0,0)),"Yes","No")</f>
        <v/>
      </c>
    </row>
    <row r="37">
      <c r="A37" s="4" t="inlineStr">
        <is>
          <t>EMP1007</t>
        </is>
      </c>
      <c r="B37" s="5" t="inlineStr">
        <is>
          <t>Tumelo Sithole</t>
        </is>
      </c>
      <c r="C37" s="6" t="n">
        <v>46211</v>
      </c>
      <c r="D37" s="7" t="n">
        <v>0.3743055555555556</v>
      </c>
      <c r="E37" s="7" t="n">
        <v>0.7388888888888889</v>
      </c>
      <c r="F37" s="8">
        <f>(E37-D37)*24</f>
        <v/>
      </c>
      <c r="G37" s="4">
        <f>IF(D37="","Absent",IF(D37&gt;TIME(9,0,0),"Late","Present"))</f>
        <v/>
      </c>
      <c r="H37" s="4">
        <f>IF(AND(D37&lt;&gt;"",D37&gt;TIME(9,0,0)),"Yes","No")</f>
        <v/>
      </c>
    </row>
    <row r="38">
      <c r="A38" s="9" t="inlineStr">
        <is>
          <t>EMP1007</t>
        </is>
      </c>
      <c r="B38" s="10" t="inlineStr">
        <is>
          <t>Tumelo Sithole</t>
        </is>
      </c>
      <c r="C38" s="11" t="n">
        <v>46212</v>
      </c>
      <c r="D38" s="12" t="n">
        <v>0.3923611111111111</v>
      </c>
      <c r="E38" s="12" t="n">
        <v>0.7395833333333334</v>
      </c>
      <c r="F38" s="13">
        <f>(E38-D38)*24</f>
        <v/>
      </c>
      <c r="G38" s="9">
        <f>IF(D38="","Absent",IF(D38&gt;TIME(9,0,0),"Late","Present"))</f>
        <v/>
      </c>
      <c r="H38" s="9">
        <f>IF(AND(D38&lt;&gt;"",D38&gt;TIME(9,0,0)),"Yes","No")</f>
        <v/>
      </c>
    </row>
    <row r="39">
      <c r="A39" s="4" t="inlineStr">
        <is>
          <t>EMP1007</t>
        </is>
      </c>
      <c r="B39" s="5" t="inlineStr">
        <is>
          <t>Tumelo Sithole</t>
        </is>
      </c>
      <c r="C39" s="6" t="n">
        <v>46213</v>
      </c>
      <c r="D39" s="7" t="n">
        <v>0.3722222222222222</v>
      </c>
      <c r="E39" s="7" t="n">
        <v>0.7145833333333333</v>
      </c>
      <c r="F39" s="8">
        <f>(E39-D39)*24</f>
        <v/>
      </c>
      <c r="G39" s="4">
        <f>IF(D39="","Absent",IF(D39&gt;TIME(9,0,0),"Late","Present"))</f>
        <v/>
      </c>
      <c r="H39" s="4">
        <f>IF(AND(D39&lt;&gt;"",D39&gt;TIME(9,0,0)),"Yes","No")</f>
        <v/>
      </c>
    </row>
    <row r="40">
      <c r="A40" s="9" t="inlineStr">
        <is>
          <t>EMP1008</t>
        </is>
      </c>
      <c r="B40" s="10" t="inlineStr">
        <is>
          <t>Ayanda Ndlovu</t>
        </is>
      </c>
      <c r="C40" s="11" t="n">
        <v>46209</v>
      </c>
      <c r="D40" s="12" t="n">
        <v>0.3708333333333333</v>
      </c>
      <c r="E40" s="12" t="n">
        <v>0.73125</v>
      </c>
      <c r="F40" s="13">
        <f>(E40-D40)*24</f>
        <v/>
      </c>
      <c r="G40" s="9">
        <f>IF(D40="","Absent",IF(D40&gt;TIME(9,0,0),"Late","Present"))</f>
        <v/>
      </c>
      <c r="H40" s="9">
        <f>IF(AND(D40&lt;&gt;"",D40&gt;TIME(9,0,0)),"Yes","No")</f>
        <v/>
      </c>
    </row>
    <row r="41">
      <c r="A41" s="4" t="inlineStr">
        <is>
          <t>EMP1008</t>
        </is>
      </c>
      <c r="B41" s="5" t="inlineStr">
        <is>
          <t>Ayanda Ndlovu</t>
        </is>
      </c>
      <c r="C41" s="6" t="n">
        <v>46210</v>
      </c>
      <c r="D41" s="7" t="n">
        <v>0.3875</v>
      </c>
      <c r="E41" s="7" t="n">
        <v>0.7194444444444444</v>
      </c>
      <c r="F41" s="8">
        <f>(E41-D41)*24</f>
        <v/>
      </c>
      <c r="G41" s="4">
        <f>IF(D41="","Absent",IF(D41&gt;TIME(9,0,0),"Late","Present"))</f>
        <v/>
      </c>
      <c r="H41" s="4">
        <f>IF(AND(D41&lt;&gt;"",D41&gt;TIME(9,0,0)),"Yes","No")</f>
        <v/>
      </c>
    </row>
    <row r="42">
      <c r="A42" s="9" t="inlineStr">
        <is>
          <t>EMP1008</t>
        </is>
      </c>
      <c r="B42" s="10" t="inlineStr">
        <is>
          <t>Ayanda Ndlovu</t>
        </is>
      </c>
      <c r="C42" s="11" t="n">
        <v>46211</v>
      </c>
      <c r="D42" s="12" t="n">
        <v>0.3652777777777778</v>
      </c>
      <c r="E42" s="12" t="n">
        <v>0.7152777777777778</v>
      </c>
      <c r="F42" s="13">
        <f>(E42-D42)*24</f>
        <v/>
      </c>
      <c r="G42" s="9">
        <f>IF(D42="","Absent",IF(D42&gt;TIME(9,0,0),"Late","Present"))</f>
        <v/>
      </c>
      <c r="H42" s="9">
        <f>IF(AND(D42&lt;&gt;"",D42&gt;TIME(9,0,0)),"Yes","No")</f>
        <v/>
      </c>
    </row>
    <row r="43">
      <c r="A43" s="4" t="inlineStr">
        <is>
          <t>EMP1008</t>
        </is>
      </c>
      <c r="B43" s="5" t="inlineStr">
        <is>
          <t>Ayanda Ndlovu</t>
        </is>
      </c>
      <c r="C43" s="6" t="n">
        <v>46212</v>
      </c>
      <c r="D43" s="7" t="n">
        <v>0.3958333333333333</v>
      </c>
      <c r="E43" s="7" t="n">
        <v>0.7145833333333333</v>
      </c>
      <c r="F43" s="8">
        <f>(E43-D43)*24</f>
        <v/>
      </c>
      <c r="G43" s="4">
        <f>IF(D43="","Absent",IF(D43&gt;TIME(9,0,0),"Late","Present"))</f>
        <v/>
      </c>
      <c r="H43" s="4">
        <f>IF(AND(D43&lt;&gt;"",D43&gt;TIME(9,0,0)),"Yes","No")</f>
        <v/>
      </c>
    </row>
    <row r="44">
      <c r="A44" s="9" t="inlineStr">
        <is>
          <t>EMP1008</t>
        </is>
      </c>
      <c r="B44" s="10" t="inlineStr">
        <is>
          <t>Ayanda Ndlovu</t>
        </is>
      </c>
      <c r="C44" s="11" t="n">
        <v>46213</v>
      </c>
      <c r="D44" s="12" t="n">
        <v>0.3722222222222222</v>
      </c>
      <c r="E44" s="12" t="n">
        <v>0.7215277777777778</v>
      </c>
      <c r="F44" s="13">
        <f>(E44-D44)*24</f>
        <v/>
      </c>
      <c r="G44" s="9">
        <f>IF(D44="","Absent",IF(D44&gt;TIME(9,0,0),"Late","Present"))</f>
        <v/>
      </c>
      <c r="H44" s="9">
        <f>IF(AND(D44&lt;&gt;"",D44&gt;TIME(9,0,0)),"Yes","No")</f>
        <v/>
      </c>
    </row>
    <row r="45">
      <c r="A45" s="4" t="inlineStr">
        <is>
          <t>EMP1009</t>
        </is>
      </c>
      <c r="B45" s="5" t="inlineStr">
        <is>
          <t>Bongani Mabaso</t>
        </is>
      </c>
      <c r="C45" s="6" t="n">
        <v>46209</v>
      </c>
      <c r="D45" s="7" t="n">
        <v>0.3833333333333334</v>
      </c>
      <c r="E45" s="7" t="n">
        <v>0.7201388888888889</v>
      </c>
      <c r="F45" s="8">
        <f>(E45-D45)*24</f>
        <v/>
      </c>
      <c r="G45" s="4">
        <f>IF(D45="","Absent",IF(D45&gt;TIME(9,0,0),"Late","Present"))</f>
        <v/>
      </c>
      <c r="H45" s="4">
        <f>IF(AND(D45&lt;&gt;"",D45&gt;TIME(9,0,0)),"Yes","No")</f>
        <v/>
      </c>
    </row>
    <row r="46">
      <c r="A46" s="9" t="inlineStr">
        <is>
          <t>EMP1009</t>
        </is>
      </c>
      <c r="B46" s="10" t="inlineStr">
        <is>
          <t>Bongani Mabaso</t>
        </is>
      </c>
      <c r="C46" s="11" t="n">
        <v>46210</v>
      </c>
      <c r="D46" s="12" t="n">
        <v>0.3645833333333333</v>
      </c>
      <c r="E46" s="12" t="n">
        <v>0.7083333333333334</v>
      </c>
      <c r="F46" s="13">
        <f>(E46-D46)*24</f>
        <v/>
      </c>
      <c r="G46" s="9">
        <f>IF(D46="","Absent",IF(D46&gt;TIME(9,0,0),"Late","Present"))</f>
        <v/>
      </c>
      <c r="H46" s="9">
        <f>IF(AND(D46&lt;&gt;"",D46&gt;TIME(9,0,0)),"Yes","No")</f>
        <v/>
      </c>
    </row>
    <row r="47">
      <c r="A47" s="4" t="inlineStr">
        <is>
          <t>EMP1009</t>
        </is>
      </c>
      <c r="B47" s="5" t="inlineStr">
        <is>
          <t>Bongani Mabaso</t>
        </is>
      </c>
      <c r="C47" s="6" t="n">
        <v>46211</v>
      </c>
      <c r="D47" s="7" t="n">
        <v>0.3722222222222222</v>
      </c>
      <c r="E47" s="7" t="n">
        <v>0.7180555555555556</v>
      </c>
      <c r="F47" s="8">
        <f>(E47-D47)*24</f>
        <v/>
      </c>
      <c r="G47" s="4">
        <f>IF(D47="","Absent",IF(D47&gt;TIME(9,0,0),"Late","Present"))</f>
        <v/>
      </c>
      <c r="H47" s="4">
        <f>IF(AND(D47&lt;&gt;"",D47&gt;TIME(9,0,0)),"Yes","No")</f>
        <v/>
      </c>
    </row>
    <row r="48">
      <c r="A48" s="9" t="inlineStr">
        <is>
          <t>EMP1009</t>
        </is>
      </c>
      <c r="B48" s="10" t="inlineStr">
        <is>
          <t>Bongani Mabaso</t>
        </is>
      </c>
      <c r="C48" s="11" t="n">
        <v>46212</v>
      </c>
      <c r="D48" s="12" t="n">
        <v>0.3694444444444445</v>
      </c>
      <c r="E48" s="12" t="n">
        <v>0.7090277777777778</v>
      </c>
      <c r="F48" s="13">
        <f>(E48-D48)*24</f>
        <v/>
      </c>
      <c r="G48" s="9">
        <f>IF(D48="","Absent",IF(D48&gt;TIME(9,0,0),"Late","Present"))</f>
        <v/>
      </c>
      <c r="H48" s="9">
        <f>IF(AND(D48&lt;&gt;"",D48&gt;TIME(9,0,0)),"Yes","No")</f>
        <v/>
      </c>
    </row>
    <row r="49">
      <c r="A49" s="4" t="inlineStr">
        <is>
          <t>EMP1009</t>
        </is>
      </c>
      <c r="B49" s="5" t="inlineStr">
        <is>
          <t>Bongani Mabaso</t>
        </is>
      </c>
      <c r="C49" s="6" t="n">
        <v>46213</v>
      </c>
      <c r="D49" s="7" t="n">
        <v>0.36875</v>
      </c>
      <c r="E49" s="7" t="n">
        <v>0.7083333333333334</v>
      </c>
      <c r="F49" s="8">
        <f>(E49-D49)*24</f>
        <v/>
      </c>
      <c r="G49" s="4">
        <f>IF(D49="","Absent",IF(D49&gt;TIME(9,0,0),"Late","Present"))</f>
        <v/>
      </c>
      <c r="H49" s="4">
        <f>IF(AND(D49&lt;&gt;"",D49&gt;TIME(9,0,0)),"Yes","No")</f>
        <v/>
      </c>
    </row>
    <row r="50">
      <c r="A50" s="9" t="inlineStr">
        <is>
          <t>EMP1010</t>
        </is>
      </c>
      <c r="B50" s="10" t="inlineStr">
        <is>
          <t>Nomvula Zulu</t>
        </is>
      </c>
      <c r="C50" s="11" t="n">
        <v>46209</v>
      </c>
      <c r="D50" s="12" t="n">
        <v>0.36875</v>
      </c>
      <c r="E50" s="12" t="n">
        <v>0.7388888888888889</v>
      </c>
      <c r="F50" s="13">
        <f>(E50-D50)*24</f>
        <v/>
      </c>
      <c r="G50" s="9">
        <f>IF(D50="","Absent",IF(D50&gt;TIME(9,0,0),"Late","Present"))</f>
        <v/>
      </c>
      <c r="H50" s="9">
        <f>IF(AND(D50&lt;&gt;"",D50&gt;TIME(9,0,0)),"Yes","No")</f>
        <v/>
      </c>
    </row>
    <row r="51">
      <c r="A51" s="4" t="inlineStr">
        <is>
          <t>EMP1010</t>
        </is>
      </c>
      <c r="B51" s="5" t="inlineStr">
        <is>
          <t>Nomvula Zulu</t>
        </is>
      </c>
      <c r="C51" s="6" t="n">
        <v>46210</v>
      </c>
      <c r="D51" s="7" t="n">
        <v>0.36875</v>
      </c>
      <c r="E51" s="7" t="n">
        <v>0.7180555555555556</v>
      </c>
      <c r="F51" s="8">
        <f>(E51-D51)*24</f>
        <v/>
      </c>
      <c r="G51" s="4">
        <f>IF(D51="","Absent",IF(D51&gt;TIME(9,0,0),"Late","Present"))</f>
        <v/>
      </c>
      <c r="H51" s="4">
        <f>IF(AND(D51&lt;&gt;"",D51&gt;TIME(9,0,0)),"Yes","No")</f>
        <v/>
      </c>
    </row>
    <row r="52">
      <c r="A52" s="9" t="inlineStr">
        <is>
          <t>EMP1010</t>
        </is>
      </c>
      <c r="B52" s="10" t="inlineStr">
        <is>
          <t>Nomvula Zulu</t>
        </is>
      </c>
      <c r="C52" s="11" t="n">
        <v>46211</v>
      </c>
      <c r="D52" s="12" t="n">
        <v>0.3743055555555556</v>
      </c>
      <c r="E52" s="12" t="n">
        <v>0.7368055555555556</v>
      </c>
      <c r="F52" s="13">
        <f>(E52-D52)*24</f>
        <v/>
      </c>
      <c r="G52" s="9">
        <f>IF(D52="","Absent",IF(D52&gt;TIME(9,0,0),"Late","Present"))</f>
        <v/>
      </c>
      <c r="H52" s="9">
        <f>IF(AND(D52&lt;&gt;"",D52&gt;TIME(9,0,0)),"Yes","No")</f>
        <v/>
      </c>
    </row>
    <row r="53">
      <c r="A53" s="4" t="inlineStr">
        <is>
          <t>EMP1010</t>
        </is>
      </c>
      <c r="B53" s="5" t="inlineStr">
        <is>
          <t>Nomvula Zulu</t>
        </is>
      </c>
      <c r="C53" s="6" t="n">
        <v>46212</v>
      </c>
      <c r="D53" s="7" t="n">
        <v>0.3715277777777778</v>
      </c>
      <c r="E53" s="7" t="n">
        <v>0.7159722222222222</v>
      </c>
      <c r="F53" s="8">
        <f>(E53-D53)*24</f>
        <v/>
      </c>
      <c r="G53" s="4">
        <f>IF(D53="","Absent",IF(D53&gt;TIME(9,0,0),"Late","Present"))</f>
        <v/>
      </c>
      <c r="H53" s="4">
        <f>IF(AND(D53&lt;&gt;"",D53&gt;TIME(9,0,0)),"Yes","No")</f>
        <v/>
      </c>
    </row>
    <row r="54">
      <c r="A54" s="9" t="inlineStr">
        <is>
          <t>EMP1010</t>
        </is>
      </c>
      <c r="B54" s="10" t="inlineStr">
        <is>
          <t>Nomvula Zulu</t>
        </is>
      </c>
      <c r="C54" s="11" t="n">
        <v>46213</v>
      </c>
      <c r="D54" s="12" t="n">
        <v>0.3680555555555556</v>
      </c>
      <c r="E54" s="12" t="n">
        <v>0.7194444444444444</v>
      </c>
      <c r="F54" s="13">
        <f>(E54-D54)*24</f>
        <v/>
      </c>
      <c r="G54" s="9">
        <f>IF(D54="","Absent",IF(D54&gt;TIME(9,0,0),"Late","Present"))</f>
        <v/>
      </c>
      <c r="H54" s="9">
        <f>IF(AND(D54&lt;&gt;"",D54&gt;TIME(9,0,0)),"Yes","No")</f>
        <v/>
      </c>
    </row>
  </sheetData>
  <mergeCells count="2">
    <mergeCell ref="A1:I1"/>
    <mergeCell ref="A2:I2"/>
  </mergeCells>
  <conditionalFormatting sqref="G5:G54">
    <cfRule type="cellIs" priority="1" operator="equal" dxfId="0">
      <formula>"Late"</formula>
    </cfRule>
    <cfRule type="cellIs" priority="2" operator="equal" dxfId="1">
      <formula>"Absent"</formula>
    </cfRule>
    <cfRule type="cellIs" priority="3" operator="equal" dxfId="2">
      <formula>"Present"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13" customWidth="1" min="3" max="3"/>
    <col width="11" customWidth="1" min="4" max="4"/>
    <col width="12" customWidth="1" min="5" max="5"/>
    <col width="12" customWidth="1" min="6" max="6"/>
    <col width="13" customWidth="1" min="7" max="7"/>
  </cols>
  <sheetData>
    <row r="1" ht="30" customHeight="1">
      <c r="A1" s="1" t="inlineStr">
        <is>
          <t>Weekly Attendance Summary</t>
        </is>
      </c>
    </row>
    <row r="2">
      <c r="A2" s="2" t="inlineStr">
        <is>
          <t>Per-employee roll-up from the Timesheet tab</t>
        </is>
      </c>
    </row>
    <row r="4" ht="30" customHeight="1">
      <c r="A4" s="3" t="inlineStr">
        <is>
          <t>Emp ID</t>
        </is>
      </c>
      <c r="B4" s="3" t="inlineStr">
        <is>
          <t>Employee</t>
        </is>
      </c>
      <c r="C4" s="3" t="inlineStr">
        <is>
          <t>Days Present</t>
        </is>
      </c>
      <c r="D4" s="3" t="inlineStr">
        <is>
          <t>Late Days</t>
        </is>
      </c>
      <c r="E4" s="3" t="inlineStr">
        <is>
          <t>Absent Days</t>
        </is>
      </c>
      <c r="F4" s="3" t="inlineStr">
        <is>
          <t>Total Hours</t>
        </is>
      </c>
      <c r="G4" s="3" t="inlineStr">
        <is>
          <t>Attendance %</t>
        </is>
      </c>
    </row>
    <row r="5">
      <c r="A5" s="4" t="inlineStr">
        <is>
          <t>EMP1001</t>
        </is>
      </c>
      <c r="B5" s="5" t="inlineStr">
        <is>
          <t>Thabo Mokoena</t>
        </is>
      </c>
      <c r="C5" s="4">
        <f>COUNTIFS(Timesheet!$A$5:$A$54,A5,Timesheet!$G$5:$G$54,"Present")+COUNTIFS(Timesheet!$A$5:$A$54,A5,Timesheet!$G$5:$G$54,"Late")</f>
        <v/>
      </c>
      <c r="D5" s="4">
        <f>COUNTIFS(Timesheet!$A$5:$A$54,A5,Timesheet!$G$5:$G$54,"Late")</f>
        <v/>
      </c>
      <c r="E5" s="4">
        <f>COUNTIFS(Timesheet!$A$5:$A$54,A5,Timesheet!$G$5:$G$54,"Absent")</f>
        <v/>
      </c>
      <c r="F5" s="8">
        <f>SUMIF(Timesheet!$A$5:$A$54,A5,Timesheet!$F$5:$F$54)</f>
        <v/>
      </c>
      <c r="G5" s="14">
        <f>C5/5</f>
        <v/>
      </c>
    </row>
    <row r="6">
      <c r="A6" s="9" t="inlineStr">
        <is>
          <t>EMP1002</t>
        </is>
      </c>
      <c r="B6" s="10" t="inlineStr">
        <is>
          <t>Lerato Nkosi</t>
        </is>
      </c>
      <c r="C6" s="9">
        <f>COUNTIFS(Timesheet!$A$5:$A$54,A6,Timesheet!$G$5:$G$54,"Present")+COUNTIFS(Timesheet!$A$5:$A$54,A6,Timesheet!$G$5:$G$54,"Late")</f>
        <v/>
      </c>
      <c r="D6" s="9">
        <f>COUNTIFS(Timesheet!$A$5:$A$54,A6,Timesheet!$G$5:$G$54,"Late")</f>
        <v/>
      </c>
      <c r="E6" s="9">
        <f>COUNTIFS(Timesheet!$A$5:$A$54,A6,Timesheet!$G$5:$G$54,"Absent")</f>
        <v/>
      </c>
      <c r="F6" s="13">
        <f>SUMIF(Timesheet!$A$5:$A$54,A6,Timesheet!$F$5:$F$54)</f>
        <v/>
      </c>
      <c r="G6" s="15">
        <f>C6/5</f>
        <v/>
      </c>
    </row>
    <row r="7">
      <c r="A7" s="4" t="inlineStr">
        <is>
          <t>EMP1003</t>
        </is>
      </c>
      <c r="B7" s="5" t="inlineStr">
        <is>
          <t>Sipho Dlamini</t>
        </is>
      </c>
      <c r="C7" s="4">
        <f>COUNTIFS(Timesheet!$A$5:$A$54,A7,Timesheet!$G$5:$G$54,"Present")+COUNTIFS(Timesheet!$A$5:$A$54,A7,Timesheet!$G$5:$G$54,"Late")</f>
        <v/>
      </c>
      <c r="D7" s="4">
        <f>COUNTIFS(Timesheet!$A$5:$A$54,A7,Timesheet!$G$5:$G$54,"Late")</f>
        <v/>
      </c>
      <c r="E7" s="4">
        <f>COUNTIFS(Timesheet!$A$5:$A$54,A7,Timesheet!$G$5:$G$54,"Absent")</f>
        <v/>
      </c>
      <c r="F7" s="8">
        <f>SUMIF(Timesheet!$A$5:$A$54,A7,Timesheet!$F$5:$F$54)</f>
        <v/>
      </c>
      <c r="G7" s="14">
        <f>C7/5</f>
        <v/>
      </c>
    </row>
    <row r="8">
      <c r="A8" s="9" t="inlineStr">
        <is>
          <t>EMP1004</t>
        </is>
      </c>
      <c r="B8" s="10" t="inlineStr">
        <is>
          <t>Naledi Molefe</t>
        </is>
      </c>
      <c r="C8" s="9">
        <f>COUNTIFS(Timesheet!$A$5:$A$54,A8,Timesheet!$G$5:$G$54,"Present")+COUNTIFS(Timesheet!$A$5:$A$54,A8,Timesheet!$G$5:$G$54,"Late")</f>
        <v/>
      </c>
      <c r="D8" s="9">
        <f>COUNTIFS(Timesheet!$A$5:$A$54,A8,Timesheet!$G$5:$G$54,"Late")</f>
        <v/>
      </c>
      <c r="E8" s="9">
        <f>COUNTIFS(Timesheet!$A$5:$A$54,A8,Timesheet!$G$5:$G$54,"Absent")</f>
        <v/>
      </c>
      <c r="F8" s="13">
        <f>SUMIF(Timesheet!$A$5:$A$54,A8,Timesheet!$F$5:$F$54)</f>
        <v/>
      </c>
      <c r="G8" s="15">
        <f>C8/5</f>
        <v/>
      </c>
    </row>
    <row r="9">
      <c r="A9" s="4" t="inlineStr">
        <is>
          <t>EMP1005</t>
        </is>
      </c>
      <c r="B9" s="5" t="inlineStr">
        <is>
          <t>Kagiso Khumalo</t>
        </is>
      </c>
      <c r="C9" s="4">
        <f>COUNTIFS(Timesheet!$A$5:$A$54,A9,Timesheet!$G$5:$G$54,"Present")+COUNTIFS(Timesheet!$A$5:$A$54,A9,Timesheet!$G$5:$G$54,"Late")</f>
        <v/>
      </c>
      <c r="D9" s="4">
        <f>COUNTIFS(Timesheet!$A$5:$A$54,A9,Timesheet!$G$5:$G$54,"Late")</f>
        <v/>
      </c>
      <c r="E9" s="4">
        <f>COUNTIFS(Timesheet!$A$5:$A$54,A9,Timesheet!$G$5:$G$54,"Absent")</f>
        <v/>
      </c>
      <c r="F9" s="8">
        <f>SUMIF(Timesheet!$A$5:$A$54,A9,Timesheet!$F$5:$F$54)</f>
        <v/>
      </c>
      <c r="G9" s="14">
        <f>C9/5</f>
        <v/>
      </c>
    </row>
    <row r="10">
      <c r="A10" s="9" t="inlineStr">
        <is>
          <t>EMP1006</t>
        </is>
      </c>
      <c r="B10" s="10" t="inlineStr">
        <is>
          <t>Zanele Mahlangu</t>
        </is>
      </c>
      <c r="C10" s="9">
        <f>COUNTIFS(Timesheet!$A$5:$A$54,A10,Timesheet!$G$5:$G$54,"Present")+COUNTIFS(Timesheet!$A$5:$A$54,A10,Timesheet!$G$5:$G$54,"Late")</f>
        <v/>
      </c>
      <c r="D10" s="9">
        <f>COUNTIFS(Timesheet!$A$5:$A$54,A10,Timesheet!$G$5:$G$54,"Late")</f>
        <v/>
      </c>
      <c r="E10" s="9">
        <f>COUNTIFS(Timesheet!$A$5:$A$54,A10,Timesheet!$G$5:$G$54,"Absent")</f>
        <v/>
      </c>
      <c r="F10" s="13">
        <f>SUMIF(Timesheet!$A$5:$A$54,A10,Timesheet!$F$5:$F$54)</f>
        <v/>
      </c>
      <c r="G10" s="15">
        <f>C10/5</f>
        <v/>
      </c>
    </row>
    <row r="11">
      <c r="A11" s="4" t="inlineStr">
        <is>
          <t>EMP1007</t>
        </is>
      </c>
      <c r="B11" s="5" t="inlineStr">
        <is>
          <t>Tumelo Sithole</t>
        </is>
      </c>
      <c r="C11" s="4">
        <f>COUNTIFS(Timesheet!$A$5:$A$54,A11,Timesheet!$G$5:$G$54,"Present")+COUNTIFS(Timesheet!$A$5:$A$54,A11,Timesheet!$G$5:$G$54,"Late")</f>
        <v/>
      </c>
      <c r="D11" s="4">
        <f>COUNTIFS(Timesheet!$A$5:$A$54,A11,Timesheet!$G$5:$G$54,"Late")</f>
        <v/>
      </c>
      <c r="E11" s="4">
        <f>COUNTIFS(Timesheet!$A$5:$A$54,A11,Timesheet!$G$5:$G$54,"Absent")</f>
        <v/>
      </c>
      <c r="F11" s="8">
        <f>SUMIF(Timesheet!$A$5:$A$54,A11,Timesheet!$F$5:$F$54)</f>
        <v/>
      </c>
      <c r="G11" s="14">
        <f>C11/5</f>
        <v/>
      </c>
    </row>
    <row r="12">
      <c r="A12" s="9" t="inlineStr">
        <is>
          <t>EMP1008</t>
        </is>
      </c>
      <c r="B12" s="10" t="inlineStr">
        <is>
          <t>Ayanda Ndlovu</t>
        </is>
      </c>
      <c r="C12" s="9">
        <f>COUNTIFS(Timesheet!$A$5:$A$54,A12,Timesheet!$G$5:$G$54,"Present")+COUNTIFS(Timesheet!$A$5:$A$54,A12,Timesheet!$G$5:$G$54,"Late")</f>
        <v/>
      </c>
      <c r="D12" s="9">
        <f>COUNTIFS(Timesheet!$A$5:$A$54,A12,Timesheet!$G$5:$G$54,"Late")</f>
        <v/>
      </c>
      <c r="E12" s="9">
        <f>COUNTIFS(Timesheet!$A$5:$A$54,A12,Timesheet!$G$5:$G$54,"Absent")</f>
        <v/>
      </c>
      <c r="F12" s="13">
        <f>SUMIF(Timesheet!$A$5:$A$54,A12,Timesheet!$F$5:$F$54)</f>
        <v/>
      </c>
      <c r="G12" s="15">
        <f>C12/5</f>
        <v/>
      </c>
    </row>
    <row r="13">
      <c r="A13" s="4" t="inlineStr">
        <is>
          <t>EMP1009</t>
        </is>
      </c>
      <c r="B13" s="5" t="inlineStr">
        <is>
          <t>Bongani Mabaso</t>
        </is>
      </c>
      <c r="C13" s="4">
        <f>COUNTIFS(Timesheet!$A$5:$A$54,A13,Timesheet!$G$5:$G$54,"Present")+COUNTIFS(Timesheet!$A$5:$A$54,A13,Timesheet!$G$5:$G$54,"Late")</f>
        <v/>
      </c>
      <c r="D13" s="4">
        <f>COUNTIFS(Timesheet!$A$5:$A$54,A13,Timesheet!$G$5:$G$54,"Late")</f>
        <v/>
      </c>
      <c r="E13" s="4">
        <f>COUNTIFS(Timesheet!$A$5:$A$54,A13,Timesheet!$G$5:$G$54,"Absent")</f>
        <v/>
      </c>
      <c r="F13" s="8">
        <f>SUMIF(Timesheet!$A$5:$A$54,A13,Timesheet!$F$5:$F$54)</f>
        <v/>
      </c>
      <c r="G13" s="14">
        <f>C13/5</f>
        <v/>
      </c>
    </row>
    <row r="14">
      <c r="A14" s="9" t="inlineStr">
        <is>
          <t>EMP1010</t>
        </is>
      </c>
      <c r="B14" s="10" t="inlineStr">
        <is>
          <t>Nomvula Zulu</t>
        </is>
      </c>
      <c r="C14" s="9">
        <f>COUNTIFS(Timesheet!$A$5:$A$54,A14,Timesheet!$G$5:$G$54,"Present")+COUNTIFS(Timesheet!$A$5:$A$54,A14,Timesheet!$G$5:$G$54,"Late")</f>
        <v/>
      </c>
      <c r="D14" s="9">
        <f>COUNTIFS(Timesheet!$A$5:$A$54,A14,Timesheet!$G$5:$G$54,"Late")</f>
        <v/>
      </c>
      <c r="E14" s="9">
        <f>COUNTIFS(Timesheet!$A$5:$A$54,A14,Timesheet!$G$5:$G$54,"Absent")</f>
        <v/>
      </c>
      <c r="F14" s="13">
        <f>SUMIF(Timesheet!$A$5:$A$54,A14,Timesheet!$F$5:$F$54)</f>
        <v/>
      </c>
      <c r="G14" s="15">
        <f>C14/5</f>
        <v/>
      </c>
    </row>
  </sheetData>
  <mergeCells count="2">
    <mergeCell ref="A2:G2"/>
    <mergeCell ref="A1:G1"/>
  </mergeCells>
  <conditionalFormatting sqref="G5:G14">
    <cfRule type="colorScale" priority="1">
      <colorScale>
        <cfvo type="num" val="0.6"/>
        <cfvo type="num" val="0.8"/>
        <cfvo type="num" val="1"/>
        <color rgb="00FFC7CE"/>
        <color rgb="00FFEB9C"/>
        <color rgb="00C6EFCE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2026-08-08T23:26:12Z</dcterms:created>
  <dcterms:modified xmlns:dcterms="http://purl.org/dc/terms/" xmlns:xsi="http://www.w3.org/2001/XMLSchema-instance" xsi:type="dcterms:W3CDTF">2026-08-08T23:26:12Z</dcterms:modified>
</cp:coreProperties>
</file>