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Responses" sheetId="1" state="visible" r:id="rId1"/>
    <sheet xmlns:r="http://schemas.openxmlformats.org/officeDocument/2006/relationships" name="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864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EAF0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/>
    </xf>
    <xf numFmtId="0" fontId="5" fillId="0" borderId="0" pivotButton="0" quotePrefix="0" xfId="0"/>
    <xf numFmtId="3" fontId="6" fillId="4" borderId="0" pivotButton="0" quotePrefix="0" xfId="0"/>
    <xf numFmtId="2" fontId="6" fillId="4" borderId="0" pivotButton="0" quotePrefix="0" xfId="0"/>
    <xf numFmtId="166" fontId="6" fillId="4" borderId="0" pivotButton="0" quotePrefix="0" xfId="0"/>
    <xf numFmtId="0" fontId="6" fillId="4" borderId="0" pivotButton="0" quotePrefix="0" xfId="0"/>
    <xf numFmtId="9" fontId="6" fillId="4" borderId="0" pivotButton="0" quotePrefix="0" xfId="0"/>
    <xf numFmtId="2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CSAT by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'Analysis'!C14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'Analysis'!$A$15:$A$18</f>
            </numRef>
          </cat>
          <val>
            <numRef>
              <f>'Analysis'!$C$15:$C$18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NPS Category Split</a:t>
            </a:r>
          </a:p>
        </rich>
      </tx>
    </title>
    <plotArea>
      <pieChart>
        <varyColors val="1"/>
        <ser>
          <idx val="0"/>
          <order val="0"/>
          <tx>
            <strRef>
              <f>'Analysis'!G15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'Analysis'!$F$16:$F$18</f>
            </numRef>
          </cat>
          <val>
            <numRef>
              <f>'Analysis'!$G$16:$G$18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20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6" customWidth="1" min="4" max="4"/>
    <col width="11" customWidth="1" min="5" max="5"/>
    <col width="11" customWidth="1" min="6" max="6"/>
    <col width="10" customWidth="1" min="7" max="7"/>
    <col width="13" customWidth="1" min="8" max="8"/>
  </cols>
  <sheetData>
    <row r="1" ht="30" customHeight="1">
      <c r="A1" s="1" t="inlineStr">
        <is>
          <t>Customer Satisfaction Survey — Response Data</t>
        </is>
      </c>
    </row>
    <row r="2">
      <c r="A2" s="2" t="inlineStr">
        <is>
          <t>CSAT (1-5) and NPS (0-10) source responses — analysis on next tab</t>
        </is>
      </c>
    </row>
    <row r="4" ht="30" customHeight="1">
      <c r="A4" s="3" t="inlineStr">
        <is>
          <t>Response ID</t>
        </is>
      </c>
      <c r="B4" s="3" t="inlineStr">
        <is>
          <t>Date</t>
        </is>
      </c>
      <c r="C4" s="3" t="inlineStr">
        <is>
          <t>Channel</t>
        </is>
      </c>
      <c r="D4" s="3" t="inlineStr">
        <is>
          <t>Agent</t>
        </is>
      </c>
      <c r="E4" s="3" t="inlineStr">
        <is>
          <t>CSAT (1-5)</t>
        </is>
      </c>
      <c r="F4" s="3" t="inlineStr">
        <is>
          <t>NPS (0-10)</t>
        </is>
      </c>
      <c r="G4" s="3" t="inlineStr">
        <is>
          <t>Resolved</t>
        </is>
      </c>
      <c r="H4" s="3" t="inlineStr">
        <is>
          <t>NPS Category</t>
        </is>
      </c>
    </row>
    <row r="5">
      <c r="A5" s="4" t="inlineStr">
        <is>
          <t>R-9001</t>
        </is>
      </c>
      <c r="B5" s="5" t="n">
        <v>46212</v>
      </c>
      <c r="C5" s="6" t="inlineStr">
        <is>
          <t>Phone</t>
        </is>
      </c>
      <c r="D5" s="6" t="inlineStr">
        <is>
          <t>Kagiso Khumalo</t>
        </is>
      </c>
      <c r="E5" s="4" t="n">
        <v>3</v>
      </c>
      <c r="F5" s="4" t="n">
        <v>10</v>
      </c>
      <c r="G5" s="4" t="inlineStr">
        <is>
          <t>Yes</t>
        </is>
      </c>
      <c r="H5" s="4">
        <f>IF(F5&gt;=9,"Promoter",IF(F5&gt;=7,"Passive","Detractor"))</f>
        <v/>
      </c>
    </row>
    <row r="6">
      <c r="A6" s="7" t="inlineStr">
        <is>
          <t>R-9002</t>
        </is>
      </c>
      <c r="B6" s="8" t="n">
        <v>46208</v>
      </c>
      <c r="C6" s="9" t="inlineStr">
        <is>
          <t>Email</t>
        </is>
      </c>
      <c r="D6" s="9" t="inlineStr">
        <is>
          <t>Kagiso Khumalo</t>
        </is>
      </c>
      <c r="E6" s="7" t="n">
        <v>4</v>
      </c>
      <c r="F6" s="7" t="n">
        <v>7</v>
      </c>
      <c r="G6" s="7" t="inlineStr">
        <is>
          <t>Yes</t>
        </is>
      </c>
      <c r="H6" s="7">
        <f>IF(F6&gt;=9,"Promoter",IF(F6&gt;=7,"Passive","Detractor"))</f>
        <v/>
      </c>
    </row>
    <row r="7">
      <c r="A7" s="4" t="inlineStr">
        <is>
          <t>R-9003</t>
        </is>
      </c>
      <c r="B7" s="5" t="n">
        <v>46229</v>
      </c>
      <c r="C7" s="6" t="inlineStr">
        <is>
          <t>WhatsApp</t>
        </is>
      </c>
      <c r="D7" s="6" t="inlineStr">
        <is>
          <t>Thabo Mokoena</t>
        </is>
      </c>
      <c r="E7" s="4" t="n">
        <v>5</v>
      </c>
      <c r="F7" s="4" t="n">
        <v>9</v>
      </c>
      <c r="G7" s="4" t="inlineStr">
        <is>
          <t>No</t>
        </is>
      </c>
      <c r="H7" s="4">
        <f>IF(F7&gt;=9,"Promoter",IF(F7&gt;=7,"Passive","Detractor"))</f>
        <v/>
      </c>
    </row>
    <row r="8">
      <c r="A8" s="7" t="inlineStr">
        <is>
          <t>R-9004</t>
        </is>
      </c>
      <c r="B8" s="8" t="n">
        <v>46221</v>
      </c>
      <c r="C8" s="9" t="inlineStr">
        <is>
          <t>Email</t>
        </is>
      </c>
      <c r="D8" s="9" t="inlineStr">
        <is>
          <t>Lerato Nkosi</t>
        </is>
      </c>
      <c r="E8" s="7" t="n">
        <v>2</v>
      </c>
      <c r="F8" s="7" t="n">
        <v>9</v>
      </c>
      <c r="G8" s="7" t="inlineStr">
        <is>
          <t>Yes</t>
        </is>
      </c>
      <c r="H8" s="7">
        <f>IF(F8&gt;=9,"Promoter",IF(F8&gt;=7,"Passive","Detractor"))</f>
        <v/>
      </c>
    </row>
    <row r="9">
      <c r="A9" s="4" t="inlineStr">
        <is>
          <t>R-9005</t>
        </is>
      </c>
      <c r="B9" s="5" t="n">
        <v>46228</v>
      </c>
      <c r="C9" s="6" t="inlineStr">
        <is>
          <t>Email</t>
        </is>
      </c>
      <c r="D9" s="6" t="inlineStr">
        <is>
          <t>Kagiso Khumalo</t>
        </is>
      </c>
      <c r="E9" s="4" t="n">
        <v>4</v>
      </c>
      <c r="F9" s="4" t="n">
        <v>10</v>
      </c>
      <c r="G9" s="4" t="inlineStr">
        <is>
          <t>Yes</t>
        </is>
      </c>
      <c r="H9" s="4">
        <f>IF(F9&gt;=9,"Promoter",IF(F9&gt;=7,"Passive","Detractor"))</f>
        <v/>
      </c>
    </row>
    <row r="10">
      <c r="A10" s="7" t="inlineStr">
        <is>
          <t>R-9006</t>
        </is>
      </c>
      <c r="B10" s="8" t="n">
        <v>46209</v>
      </c>
      <c r="C10" s="9" t="inlineStr">
        <is>
          <t>WhatsApp</t>
        </is>
      </c>
      <c r="D10" s="9" t="inlineStr">
        <is>
          <t>Tumelo Sithole</t>
        </is>
      </c>
      <c r="E10" s="7" t="n">
        <v>4</v>
      </c>
      <c r="F10" s="7" t="n">
        <v>7</v>
      </c>
      <c r="G10" s="7" t="inlineStr">
        <is>
          <t>Yes</t>
        </is>
      </c>
      <c r="H10" s="7">
        <f>IF(F10&gt;=9,"Promoter",IF(F10&gt;=7,"Passive","Detractor"))</f>
        <v/>
      </c>
    </row>
    <row r="11">
      <c r="A11" s="4" t="inlineStr">
        <is>
          <t>R-9007</t>
        </is>
      </c>
      <c r="B11" s="5" t="n">
        <v>46224</v>
      </c>
      <c r="C11" s="6" t="inlineStr">
        <is>
          <t>Chat</t>
        </is>
      </c>
      <c r="D11" s="6" t="inlineStr">
        <is>
          <t>Tumelo Sithole</t>
        </is>
      </c>
      <c r="E11" s="4" t="n">
        <v>5</v>
      </c>
      <c r="F11" s="4" t="n">
        <v>7</v>
      </c>
      <c r="G11" s="4" t="inlineStr">
        <is>
          <t>Yes</t>
        </is>
      </c>
      <c r="H11" s="4">
        <f>IF(F11&gt;=9,"Promoter",IF(F11&gt;=7,"Passive","Detractor"))</f>
        <v/>
      </c>
    </row>
    <row r="12">
      <c r="A12" s="7" t="inlineStr">
        <is>
          <t>R-9008</t>
        </is>
      </c>
      <c r="B12" s="8" t="n">
        <v>46216</v>
      </c>
      <c r="C12" s="9" t="inlineStr">
        <is>
          <t>Phone</t>
        </is>
      </c>
      <c r="D12" s="9" t="inlineStr">
        <is>
          <t>Sipho Dlamini</t>
        </is>
      </c>
      <c r="E12" s="7" t="n">
        <v>5</v>
      </c>
      <c r="F12" s="7" t="n">
        <v>3</v>
      </c>
      <c r="G12" s="7" t="inlineStr">
        <is>
          <t>Yes</t>
        </is>
      </c>
      <c r="H12" s="7">
        <f>IF(F12&gt;=9,"Promoter",IF(F12&gt;=7,"Passive","Detractor"))</f>
        <v/>
      </c>
    </row>
    <row r="13">
      <c r="A13" s="4" t="inlineStr">
        <is>
          <t>R-9009</t>
        </is>
      </c>
      <c r="B13" s="5" t="n">
        <v>46229</v>
      </c>
      <c r="C13" s="6" t="inlineStr">
        <is>
          <t>WhatsApp</t>
        </is>
      </c>
      <c r="D13" s="6" t="inlineStr">
        <is>
          <t>Naledi Molefe</t>
        </is>
      </c>
      <c r="E13" s="4" t="n">
        <v>4</v>
      </c>
      <c r="F13" s="4" t="n">
        <v>7</v>
      </c>
      <c r="G13" s="4" t="inlineStr">
        <is>
          <t>Yes</t>
        </is>
      </c>
      <c r="H13" s="4">
        <f>IF(F13&gt;=9,"Promoter",IF(F13&gt;=7,"Passive","Detractor"))</f>
        <v/>
      </c>
    </row>
    <row r="14">
      <c r="A14" s="7" t="inlineStr">
        <is>
          <t>R-9010</t>
        </is>
      </c>
      <c r="B14" s="8" t="n">
        <v>46217</v>
      </c>
      <c r="C14" s="9" t="inlineStr">
        <is>
          <t>Email</t>
        </is>
      </c>
      <c r="D14" s="9" t="inlineStr">
        <is>
          <t>Naledi Molefe</t>
        </is>
      </c>
      <c r="E14" s="7" t="n">
        <v>3</v>
      </c>
      <c r="F14" s="7" t="n">
        <v>5</v>
      </c>
      <c r="G14" s="7" t="inlineStr">
        <is>
          <t>Yes</t>
        </is>
      </c>
      <c r="H14" s="7">
        <f>IF(F14&gt;=9,"Promoter",IF(F14&gt;=7,"Passive","Detractor"))</f>
        <v/>
      </c>
    </row>
    <row r="15">
      <c r="A15" s="4" t="inlineStr">
        <is>
          <t>R-9011</t>
        </is>
      </c>
      <c r="B15" s="5" t="n">
        <v>46214</v>
      </c>
      <c r="C15" s="6" t="inlineStr">
        <is>
          <t>Email</t>
        </is>
      </c>
      <c r="D15" s="6" t="inlineStr">
        <is>
          <t>Zanele Mahlangu</t>
        </is>
      </c>
      <c r="E15" s="4" t="n">
        <v>4</v>
      </c>
      <c r="F15" s="4" t="n">
        <v>8</v>
      </c>
      <c r="G15" s="4" t="inlineStr">
        <is>
          <t>No</t>
        </is>
      </c>
      <c r="H15" s="4">
        <f>IF(F15&gt;=9,"Promoter",IF(F15&gt;=7,"Passive","Detractor"))</f>
        <v/>
      </c>
    </row>
    <row r="16">
      <c r="A16" s="7" t="inlineStr">
        <is>
          <t>R-9012</t>
        </is>
      </c>
      <c r="B16" s="8" t="n">
        <v>46227</v>
      </c>
      <c r="C16" s="9" t="inlineStr">
        <is>
          <t>WhatsApp</t>
        </is>
      </c>
      <c r="D16" s="9" t="inlineStr">
        <is>
          <t>Tumelo Sithole</t>
        </is>
      </c>
      <c r="E16" s="7" t="n">
        <v>4</v>
      </c>
      <c r="F16" s="7" t="n">
        <v>8</v>
      </c>
      <c r="G16" s="7" t="inlineStr">
        <is>
          <t>Yes</t>
        </is>
      </c>
      <c r="H16" s="7">
        <f>IF(F16&gt;=9,"Promoter",IF(F16&gt;=7,"Passive","Detractor"))</f>
        <v/>
      </c>
    </row>
    <row r="17">
      <c r="A17" s="4" t="inlineStr">
        <is>
          <t>R-9013</t>
        </is>
      </c>
      <c r="B17" s="5" t="n">
        <v>46214</v>
      </c>
      <c r="C17" s="6" t="inlineStr">
        <is>
          <t>Phone</t>
        </is>
      </c>
      <c r="D17" s="6" t="inlineStr">
        <is>
          <t>Ayanda Ndlovu</t>
        </is>
      </c>
      <c r="E17" s="4" t="n">
        <v>4</v>
      </c>
      <c r="F17" s="4" t="n">
        <v>10</v>
      </c>
      <c r="G17" s="4" t="inlineStr">
        <is>
          <t>Yes</t>
        </is>
      </c>
      <c r="H17" s="4">
        <f>IF(F17&gt;=9,"Promoter",IF(F17&gt;=7,"Passive","Detractor"))</f>
        <v/>
      </c>
    </row>
    <row r="18">
      <c r="A18" s="7" t="inlineStr">
        <is>
          <t>R-9014</t>
        </is>
      </c>
      <c r="B18" s="8" t="n">
        <v>46220</v>
      </c>
      <c r="C18" s="9" t="inlineStr">
        <is>
          <t>Email</t>
        </is>
      </c>
      <c r="D18" s="9" t="inlineStr">
        <is>
          <t>Lerato Nkosi</t>
        </is>
      </c>
      <c r="E18" s="7" t="n">
        <v>4</v>
      </c>
      <c r="F18" s="7" t="n">
        <v>6</v>
      </c>
      <c r="G18" s="7" t="inlineStr">
        <is>
          <t>Yes</t>
        </is>
      </c>
      <c r="H18" s="7">
        <f>IF(F18&gt;=9,"Promoter",IF(F18&gt;=7,"Passive","Detractor"))</f>
        <v/>
      </c>
    </row>
    <row r="19">
      <c r="A19" s="4" t="inlineStr">
        <is>
          <t>R-9015</t>
        </is>
      </c>
      <c r="B19" s="5" t="n">
        <v>46218</v>
      </c>
      <c r="C19" s="6" t="inlineStr">
        <is>
          <t>WhatsApp</t>
        </is>
      </c>
      <c r="D19" s="6" t="inlineStr">
        <is>
          <t>Kagiso Khumalo</t>
        </is>
      </c>
      <c r="E19" s="4" t="n">
        <v>5</v>
      </c>
      <c r="F19" s="4" t="n">
        <v>10</v>
      </c>
      <c r="G19" s="4" t="inlineStr">
        <is>
          <t>Yes</t>
        </is>
      </c>
      <c r="H19" s="4">
        <f>IF(F19&gt;=9,"Promoter",IF(F19&gt;=7,"Passive","Detractor"))</f>
        <v/>
      </c>
    </row>
    <row r="20">
      <c r="A20" s="7" t="inlineStr">
        <is>
          <t>R-9016</t>
        </is>
      </c>
      <c r="B20" s="8" t="n">
        <v>46205</v>
      </c>
      <c r="C20" s="9" t="inlineStr">
        <is>
          <t>WhatsApp</t>
        </is>
      </c>
      <c r="D20" s="9" t="inlineStr">
        <is>
          <t>Ayanda Ndlovu</t>
        </is>
      </c>
      <c r="E20" s="7" t="n">
        <v>5</v>
      </c>
      <c r="F20" s="7" t="n">
        <v>8</v>
      </c>
      <c r="G20" s="7" t="inlineStr">
        <is>
          <t>Yes</t>
        </is>
      </c>
      <c r="H20" s="7">
        <f>IF(F20&gt;=9,"Promoter",IF(F20&gt;=7,"Passive","Detractor"))</f>
        <v/>
      </c>
    </row>
    <row r="21">
      <c r="A21" s="4" t="inlineStr">
        <is>
          <t>R-9017</t>
        </is>
      </c>
      <c r="B21" s="5" t="n">
        <v>46230</v>
      </c>
      <c r="C21" s="6" t="inlineStr">
        <is>
          <t>WhatsApp</t>
        </is>
      </c>
      <c r="D21" s="6" t="inlineStr">
        <is>
          <t>Ayanda Ndlovu</t>
        </is>
      </c>
      <c r="E21" s="4" t="n">
        <v>3</v>
      </c>
      <c r="F21" s="4" t="n">
        <v>4</v>
      </c>
      <c r="G21" s="4" t="inlineStr">
        <is>
          <t>Yes</t>
        </is>
      </c>
      <c r="H21" s="4">
        <f>IF(F21&gt;=9,"Promoter",IF(F21&gt;=7,"Passive","Detractor"))</f>
        <v/>
      </c>
    </row>
    <row r="22">
      <c r="A22" s="7" t="inlineStr">
        <is>
          <t>R-9018</t>
        </is>
      </c>
      <c r="B22" s="8" t="n">
        <v>46220</v>
      </c>
      <c r="C22" s="9" t="inlineStr">
        <is>
          <t>Phone</t>
        </is>
      </c>
      <c r="D22" s="9" t="inlineStr">
        <is>
          <t>Ayanda Ndlovu</t>
        </is>
      </c>
      <c r="E22" s="7" t="n">
        <v>2</v>
      </c>
      <c r="F22" s="7" t="n">
        <v>9</v>
      </c>
      <c r="G22" s="7" t="inlineStr">
        <is>
          <t>Yes</t>
        </is>
      </c>
      <c r="H22" s="7">
        <f>IF(F22&gt;=9,"Promoter",IF(F22&gt;=7,"Passive","Detractor"))</f>
        <v/>
      </c>
    </row>
    <row r="23">
      <c r="A23" s="4" t="inlineStr">
        <is>
          <t>R-9019</t>
        </is>
      </c>
      <c r="B23" s="5" t="n">
        <v>46208</v>
      </c>
      <c r="C23" s="6" t="inlineStr">
        <is>
          <t>Email</t>
        </is>
      </c>
      <c r="D23" s="6" t="inlineStr">
        <is>
          <t>Thabo Mokoena</t>
        </is>
      </c>
      <c r="E23" s="4" t="n">
        <v>5</v>
      </c>
      <c r="F23" s="4" t="n">
        <v>7</v>
      </c>
      <c r="G23" s="4" t="inlineStr">
        <is>
          <t>Yes</t>
        </is>
      </c>
      <c r="H23" s="4">
        <f>IF(F23&gt;=9,"Promoter",IF(F23&gt;=7,"Passive","Detractor"))</f>
        <v/>
      </c>
    </row>
    <row r="24">
      <c r="A24" s="7" t="inlineStr">
        <is>
          <t>R-9020</t>
        </is>
      </c>
      <c r="B24" s="8" t="n">
        <v>46212</v>
      </c>
      <c r="C24" s="9" t="inlineStr">
        <is>
          <t>WhatsApp</t>
        </is>
      </c>
      <c r="D24" s="9" t="inlineStr">
        <is>
          <t>Lerato Nkosi</t>
        </is>
      </c>
      <c r="E24" s="7" t="n">
        <v>2</v>
      </c>
      <c r="F24" s="7" t="n">
        <v>7</v>
      </c>
      <c r="G24" s="7" t="inlineStr">
        <is>
          <t>No</t>
        </is>
      </c>
      <c r="H24" s="7">
        <f>IF(F24&gt;=9,"Promoter",IF(F24&gt;=7,"Passive","Detractor"))</f>
        <v/>
      </c>
    </row>
    <row r="25">
      <c r="A25" s="4" t="inlineStr">
        <is>
          <t>R-9021</t>
        </is>
      </c>
      <c r="B25" s="5" t="n">
        <v>46210</v>
      </c>
      <c r="C25" s="6" t="inlineStr">
        <is>
          <t>WhatsApp</t>
        </is>
      </c>
      <c r="D25" s="6" t="inlineStr">
        <is>
          <t>Kagiso Khumalo</t>
        </is>
      </c>
      <c r="E25" s="4" t="n">
        <v>3</v>
      </c>
      <c r="F25" s="4" t="n">
        <v>9</v>
      </c>
      <c r="G25" s="4" t="inlineStr">
        <is>
          <t>Yes</t>
        </is>
      </c>
      <c r="H25" s="4">
        <f>IF(F25&gt;=9,"Promoter",IF(F25&gt;=7,"Passive","Detractor"))</f>
        <v/>
      </c>
    </row>
    <row r="26">
      <c r="A26" s="7" t="inlineStr">
        <is>
          <t>R-9022</t>
        </is>
      </c>
      <c r="B26" s="8" t="n">
        <v>46213</v>
      </c>
      <c r="C26" s="9" t="inlineStr">
        <is>
          <t>WhatsApp</t>
        </is>
      </c>
      <c r="D26" s="9" t="inlineStr">
        <is>
          <t>Kagiso Khumalo</t>
        </is>
      </c>
      <c r="E26" s="7" t="n">
        <v>5</v>
      </c>
      <c r="F26" s="7" t="n">
        <v>9</v>
      </c>
      <c r="G26" s="7" t="inlineStr">
        <is>
          <t>No</t>
        </is>
      </c>
      <c r="H26" s="7">
        <f>IF(F26&gt;=9,"Promoter",IF(F26&gt;=7,"Passive","Detractor"))</f>
        <v/>
      </c>
    </row>
    <row r="27">
      <c r="A27" s="4" t="inlineStr">
        <is>
          <t>R-9023</t>
        </is>
      </c>
      <c r="B27" s="5" t="n">
        <v>46219</v>
      </c>
      <c r="C27" s="6" t="inlineStr">
        <is>
          <t>Email</t>
        </is>
      </c>
      <c r="D27" s="6" t="inlineStr">
        <is>
          <t>Naledi Molefe</t>
        </is>
      </c>
      <c r="E27" s="4" t="n">
        <v>1</v>
      </c>
      <c r="F27" s="4" t="n">
        <v>8</v>
      </c>
      <c r="G27" s="4" t="inlineStr">
        <is>
          <t>Yes</t>
        </is>
      </c>
      <c r="H27" s="4">
        <f>IF(F27&gt;=9,"Promoter",IF(F27&gt;=7,"Passive","Detractor"))</f>
        <v/>
      </c>
    </row>
    <row r="28">
      <c r="A28" s="7" t="inlineStr">
        <is>
          <t>R-9024</t>
        </is>
      </c>
      <c r="B28" s="8" t="n">
        <v>46205</v>
      </c>
      <c r="C28" s="9" t="inlineStr">
        <is>
          <t>Phone</t>
        </is>
      </c>
      <c r="D28" s="9" t="inlineStr">
        <is>
          <t>Naledi Molefe</t>
        </is>
      </c>
      <c r="E28" s="7" t="n">
        <v>4</v>
      </c>
      <c r="F28" s="7" t="n">
        <v>9</v>
      </c>
      <c r="G28" s="7" t="inlineStr">
        <is>
          <t>Yes</t>
        </is>
      </c>
      <c r="H28" s="7">
        <f>IF(F28&gt;=9,"Promoter",IF(F28&gt;=7,"Passive","Detractor"))</f>
        <v/>
      </c>
    </row>
    <row r="29">
      <c r="A29" s="4" t="inlineStr">
        <is>
          <t>R-9025</t>
        </is>
      </c>
      <c r="B29" s="5" t="n">
        <v>46212</v>
      </c>
      <c r="C29" s="6" t="inlineStr">
        <is>
          <t>Email</t>
        </is>
      </c>
      <c r="D29" s="6" t="inlineStr">
        <is>
          <t>Tumelo Sithole</t>
        </is>
      </c>
      <c r="E29" s="4" t="n">
        <v>5</v>
      </c>
      <c r="F29" s="4" t="n">
        <v>6</v>
      </c>
      <c r="G29" s="4" t="inlineStr">
        <is>
          <t>Yes</t>
        </is>
      </c>
      <c r="H29" s="4">
        <f>IF(F29&gt;=9,"Promoter",IF(F29&gt;=7,"Passive","Detractor"))</f>
        <v/>
      </c>
    </row>
    <row r="30">
      <c r="A30" s="7" t="inlineStr">
        <is>
          <t>R-9026</t>
        </is>
      </c>
      <c r="B30" s="8" t="n">
        <v>46214</v>
      </c>
      <c r="C30" s="9" t="inlineStr">
        <is>
          <t>WhatsApp</t>
        </is>
      </c>
      <c r="D30" s="9" t="inlineStr">
        <is>
          <t>Zanele Mahlangu</t>
        </is>
      </c>
      <c r="E30" s="7" t="n">
        <v>5</v>
      </c>
      <c r="F30" s="7" t="n">
        <v>5</v>
      </c>
      <c r="G30" s="7" t="inlineStr">
        <is>
          <t>Yes</t>
        </is>
      </c>
      <c r="H30" s="7">
        <f>IF(F30&gt;=9,"Promoter",IF(F30&gt;=7,"Passive","Detractor"))</f>
        <v/>
      </c>
    </row>
    <row r="31">
      <c r="A31" s="4" t="inlineStr">
        <is>
          <t>R-9027</t>
        </is>
      </c>
      <c r="B31" s="5" t="n">
        <v>46227</v>
      </c>
      <c r="C31" s="6" t="inlineStr">
        <is>
          <t>Phone</t>
        </is>
      </c>
      <c r="D31" s="6" t="inlineStr">
        <is>
          <t>Naledi Molefe</t>
        </is>
      </c>
      <c r="E31" s="4" t="n">
        <v>4</v>
      </c>
      <c r="F31" s="4" t="n">
        <v>6</v>
      </c>
      <c r="G31" s="4" t="inlineStr">
        <is>
          <t>Yes</t>
        </is>
      </c>
      <c r="H31" s="4">
        <f>IF(F31&gt;=9,"Promoter",IF(F31&gt;=7,"Passive","Detractor"))</f>
        <v/>
      </c>
    </row>
    <row r="32">
      <c r="A32" s="7" t="inlineStr">
        <is>
          <t>R-9028</t>
        </is>
      </c>
      <c r="B32" s="8" t="n">
        <v>46210</v>
      </c>
      <c r="C32" s="9" t="inlineStr">
        <is>
          <t>Email</t>
        </is>
      </c>
      <c r="D32" s="9" t="inlineStr">
        <is>
          <t>Ayanda Ndlovu</t>
        </is>
      </c>
      <c r="E32" s="7" t="n">
        <v>3</v>
      </c>
      <c r="F32" s="7" t="n">
        <v>9</v>
      </c>
      <c r="G32" s="7" t="inlineStr">
        <is>
          <t>Yes</t>
        </is>
      </c>
      <c r="H32" s="7">
        <f>IF(F32&gt;=9,"Promoter",IF(F32&gt;=7,"Passive","Detractor"))</f>
        <v/>
      </c>
    </row>
    <row r="33">
      <c r="A33" s="4" t="inlineStr">
        <is>
          <t>R-9029</t>
        </is>
      </c>
      <c r="B33" s="5" t="n">
        <v>46223</v>
      </c>
      <c r="C33" s="6" t="inlineStr">
        <is>
          <t>WhatsApp</t>
        </is>
      </c>
      <c r="D33" s="6" t="inlineStr">
        <is>
          <t>Sipho Dlamini</t>
        </is>
      </c>
      <c r="E33" s="4" t="n">
        <v>5</v>
      </c>
      <c r="F33" s="4" t="n">
        <v>8</v>
      </c>
      <c r="G33" s="4" t="inlineStr">
        <is>
          <t>No</t>
        </is>
      </c>
      <c r="H33" s="4">
        <f>IF(F33&gt;=9,"Promoter",IF(F33&gt;=7,"Passive","Detractor"))</f>
        <v/>
      </c>
    </row>
    <row r="34">
      <c r="A34" s="7" t="inlineStr">
        <is>
          <t>R-9030</t>
        </is>
      </c>
      <c r="B34" s="8" t="n">
        <v>46205</v>
      </c>
      <c r="C34" s="9" t="inlineStr">
        <is>
          <t>Email</t>
        </is>
      </c>
      <c r="D34" s="9" t="inlineStr">
        <is>
          <t>Tumelo Sithole</t>
        </is>
      </c>
      <c r="E34" s="7" t="n">
        <v>2</v>
      </c>
      <c r="F34" s="7" t="n">
        <v>1</v>
      </c>
      <c r="G34" s="7" t="inlineStr">
        <is>
          <t>Yes</t>
        </is>
      </c>
      <c r="H34" s="7">
        <f>IF(F34&gt;=9,"Promoter",IF(F34&gt;=7,"Passive","Detractor"))</f>
        <v/>
      </c>
    </row>
    <row r="35">
      <c r="A35" s="4" t="inlineStr">
        <is>
          <t>R-9031</t>
        </is>
      </c>
      <c r="B35" s="5" t="n">
        <v>46217</v>
      </c>
      <c r="C35" s="6" t="inlineStr">
        <is>
          <t>Phone</t>
        </is>
      </c>
      <c r="D35" s="6" t="inlineStr">
        <is>
          <t>Thabo Mokoena</t>
        </is>
      </c>
      <c r="E35" s="4" t="n">
        <v>3</v>
      </c>
      <c r="F35" s="4" t="n">
        <v>8</v>
      </c>
      <c r="G35" s="4" t="inlineStr">
        <is>
          <t>Yes</t>
        </is>
      </c>
      <c r="H35" s="4">
        <f>IF(F35&gt;=9,"Promoter",IF(F35&gt;=7,"Passive","Detractor"))</f>
        <v/>
      </c>
    </row>
    <row r="36">
      <c r="A36" s="7" t="inlineStr">
        <is>
          <t>R-9032</t>
        </is>
      </c>
      <c r="B36" s="8" t="n">
        <v>46214</v>
      </c>
      <c r="C36" s="9" t="inlineStr">
        <is>
          <t>Phone</t>
        </is>
      </c>
      <c r="D36" s="9" t="inlineStr">
        <is>
          <t>Lerato Nkosi</t>
        </is>
      </c>
      <c r="E36" s="7" t="n">
        <v>5</v>
      </c>
      <c r="F36" s="7" t="n">
        <v>7</v>
      </c>
      <c r="G36" s="7" t="inlineStr">
        <is>
          <t>Yes</t>
        </is>
      </c>
      <c r="H36" s="7">
        <f>IF(F36&gt;=9,"Promoter",IF(F36&gt;=7,"Passive","Detractor"))</f>
        <v/>
      </c>
    </row>
    <row r="37">
      <c r="A37" s="4" t="inlineStr">
        <is>
          <t>R-9033</t>
        </is>
      </c>
      <c r="B37" s="5" t="n">
        <v>46220</v>
      </c>
      <c r="C37" s="6" t="inlineStr">
        <is>
          <t>WhatsApp</t>
        </is>
      </c>
      <c r="D37" s="6" t="inlineStr">
        <is>
          <t>Thabo Mokoena</t>
        </is>
      </c>
      <c r="E37" s="4" t="n">
        <v>4</v>
      </c>
      <c r="F37" s="4" t="n">
        <v>9</v>
      </c>
      <c r="G37" s="4" t="inlineStr">
        <is>
          <t>Yes</t>
        </is>
      </c>
      <c r="H37" s="4">
        <f>IF(F37&gt;=9,"Promoter",IF(F37&gt;=7,"Passive","Detractor"))</f>
        <v/>
      </c>
    </row>
    <row r="38">
      <c r="A38" s="7" t="inlineStr">
        <is>
          <t>R-9034</t>
        </is>
      </c>
      <c r="B38" s="8" t="n">
        <v>46214</v>
      </c>
      <c r="C38" s="9" t="inlineStr">
        <is>
          <t>WhatsApp</t>
        </is>
      </c>
      <c r="D38" s="9" t="inlineStr">
        <is>
          <t>Sipho Dlamini</t>
        </is>
      </c>
      <c r="E38" s="7" t="n">
        <v>3</v>
      </c>
      <c r="F38" s="7" t="n">
        <v>3</v>
      </c>
      <c r="G38" s="7" t="inlineStr">
        <is>
          <t>Yes</t>
        </is>
      </c>
      <c r="H38" s="7">
        <f>IF(F38&gt;=9,"Promoter",IF(F38&gt;=7,"Passive","Detractor"))</f>
        <v/>
      </c>
    </row>
    <row r="39">
      <c r="A39" s="4" t="inlineStr">
        <is>
          <t>R-9035</t>
        </is>
      </c>
      <c r="B39" s="5" t="n">
        <v>46217</v>
      </c>
      <c r="C39" s="6" t="inlineStr">
        <is>
          <t>Phone</t>
        </is>
      </c>
      <c r="D39" s="6" t="inlineStr">
        <is>
          <t>Naledi Molefe</t>
        </is>
      </c>
      <c r="E39" s="4" t="n">
        <v>4</v>
      </c>
      <c r="F39" s="4" t="n">
        <v>9</v>
      </c>
      <c r="G39" s="4" t="inlineStr">
        <is>
          <t>Yes</t>
        </is>
      </c>
      <c r="H39" s="4">
        <f>IF(F39&gt;=9,"Promoter",IF(F39&gt;=7,"Passive","Detractor"))</f>
        <v/>
      </c>
    </row>
    <row r="40">
      <c r="A40" s="7" t="inlineStr">
        <is>
          <t>R-9036</t>
        </is>
      </c>
      <c r="B40" s="8" t="n">
        <v>46229</v>
      </c>
      <c r="C40" s="9" t="inlineStr">
        <is>
          <t>WhatsApp</t>
        </is>
      </c>
      <c r="D40" s="9" t="inlineStr">
        <is>
          <t>Lerato Nkosi</t>
        </is>
      </c>
      <c r="E40" s="7" t="n">
        <v>2</v>
      </c>
      <c r="F40" s="7" t="n">
        <v>8</v>
      </c>
      <c r="G40" s="7" t="inlineStr">
        <is>
          <t>Yes</t>
        </is>
      </c>
      <c r="H40" s="7">
        <f>IF(F40&gt;=9,"Promoter",IF(F40&gt;=7,"Passive","Detractor"))</f>
        <v/>
      </c>
    </row>
    <row r="41">
      <c r="A41" s="4" t="inlineStr">
        <is>
          <t>R-9037</t>
        </is>
      </c>
      <c r="B41" s="5" t="n">
        <v>46218</v>
      </c>
      <c r="C41" s="6" t="inlineStr">
        <is>
          <t>Email</t>
        </is>
      </c>
      <c r="D41" s="6" t="inlineStr">
        <is>
          <t>Zanele Mahlangu</t>
        </is>
      </c>
      <c r="E41" s="4" t="n">
        <v>4</v>
      </c>
      <c r="F41" s="4" t="n">
        <v>10</v>
      </c>
      <c r="G41" s="4" t="inlineStr">
        <is>
          <t>Yes</t>
        </is>
      </c>
      <c r="H41" s="4">
        <f>IF(F41&gt;=9,"Promoter",IF(F41&gt;=7,"Passive","Detractor"))</f>
        <v/>
      </c>
    </row>
    <row r="42">
      <c r="A42" s="7" t="inlineStr">
        <is>
          <t>R-9038</t>
        </is>
      </c>
      <c r="B42" s="8" t="n">
        <v>46217</v>
      </c>
      <c r="C42" s="9" t="inlineStr">
        <is>
          <t>Email</t>
        </is>
      </c>
      <c r="D42" s="9" t="inlineStr">
        <is>
          <t>Tumelo Sithole</t>
        </is>
      </c>
      <c r="E42" s="7" t="n">
        <v>2</v>
      </c>
      <c r="F42" s="7" t="n">
        <v>1</v>
      </c>
      <c r="G42" s="7" t="inlineStr">
        <is>
          <t>Yes</t>
        </is>
      </c>
      <c r="H42" s="7">
        <f>IF(F42&gt;=9,"Promoter",IF(F42&gt;=7,"Passive","Detractor"))</f>
        <v/>
      </c>
    </row>
    <row r="43">
      <c r="A43" s="4" t="inlineStr">
        <is>
          <t>R-9039</t>
        </is>
      </c>
      <c r="B43" s="5" t="n">
        <v>46205</v>
      </c>
      <c r="C43" s="6" t="inlineStr">
        <is>
          <t>Chat</t>
        </is>
      </c>
      <c r="D43" s="6" t="inlineStr">
        <is>
          <t>Naledi Molefe</t>
        </is>
      </c>
      <c r="E43" s="4" t="n">
        <v>5</v>
      </c>
      <c r="F43" s="4" t="n">
        <v>10</v>
      </c>
      <c r="G43" s="4" t="inlineStr">
        <is>
          <t>Yes</t>
        </is>
      </c>
      <c r="H43" s="4">
        <f>IF(F43&gt;=9,"Promoter",IF(F43&gt;=7,"Passive","Detractor"))</f>
        <v/>
      </c>
    </row>
    <row r="44">
      <c r="A44" s="7" t="inlineStr">
        <is>
          <t>R-9040</t>
        </is>
      </c>
      <c r="B44" s="8" t="n">
        <v>46212</v>
      </c>
      <c r="C44" s="9" t="inlineStr">
        <is>
          <t>Chat</t>
        </is>
      </c>
      <c r="D44" s="9" t="inlineStr">
        <is>
          <t>Thabo Mokoena</t>
        </is>
      </c>
      <c r="E44" s="7" t="n">
        <v>4</v>
      </c>
      <c r="F44" s="7" t="n">
        <v>9</v>
      </c>
      <c r="G44" s="7" t="inlineStr">
        <is>
          <t>Yes</t>
        </is>
      </c>
      <c r="H44" s="7">
        <f>IF(F44&gt;=9,"Promoter",IF(F44&gt;=7,"Passive","Detractor"))</f>
        <v/>
      </c>
    </row>
    <row r="45">
      <c r="A45" s="4" t="inlineStr">
        <is>
          <t>R-9041</t>
        </is>
      </c>
      <c r="B45" s="5" t="n">
        <v>46212</v>
      </c>
      <c r="C45" s="6" t="inlineStr">
        <is>
          <t>Chat</t>
        </is>
      </c>
      <c r="D45" s="6" t="inlineStr">
        <is>
          <t>Thabo Mokoena</t>
        </is>
      </c>
      <c r="E45" s="4" t="n">
        <v>5</v>
      </c>
      <c r="F45" s="4" t="n">
        <v>8</v>
      </c>
      <c r="G45" s="4" t="inlineStr">
        <is>
          <t>Yes</t>
        </is>
      </c>
      <c r="H45" s="4">
        <f>IF(F45&gt;=9,"Promoter",IF(F45&gt;=7,"Passive","Detractor"))</f>
        <v/>
      </c>
    </row>
    <row r="46">
      <c r="A46" s="7" t="inlineStr">
        <is>
          <t>R-9042</t>
        </is>
      </c>
      <c r="B46" s="8" t="n">
        <v>46206</v>
      </c>
      <c r="C46" s="9" t="inlineStr">
        <is>
          <t>Phone</t>
        </is>
      </c>
      <c r="D46" s="9" t="inlineStr">
        <is>
          <t>Naledi Molefe</t>
        </is>
      </c>
      <c r="E46" s="7" t="n">
        <v>3</v>
      </c>
      <c r="F46" s="7" t="n">
        <v>9</v>
      </c>
      <c r="G46" s="7" t="inlineStr">
        <is>
          <t>Yes</t>
        </is>
      </c>
      <c r="H46" s="7">
        <f>IF(F46&gt;=9,"Promoter",IF(F46&gt;=7,"Passive","Detractor"))</f>
        <v/>
      </c>
    </row>
    <row r="47">
      <c r="A47" s="4" t="inlineStr">
        <is>
          <t>R-9043</t>
        </is>
      </c>
      <c r="B47" s="5" t="n">
        <v>46228</v>
      </c>
      <c r="C47" s="6" t="inlineStr">
        <is>
          <t>WhatsApp</t>
        </is>
      </c>
      <c r="D47" s="6" t="inlineStr">
        <is>
          <t>Kagiso Khumalo</t>
        </is>
      </c>
      <c r="E47" s="4" t="n">
        <v>5</v>
      </c>
      <c r="F47" s="4" t="n">
        <v>10</v>
      </c>
      <c r="G47" s="4" t="inlineStr">
        <is>
          <t>Yes</t>
        </is>
      </c>
      <c r="H47" s="4">
        <f>IF(F47&gt;=9,"Promoter",IF(F47&gt;=7,"Passive","Detractor"))</f>
        <v/>
      </c>
    </row>
    <row r="48">
      <c r="A48" s="7" t="inlineStr">
        <is>
          <t>R-9044</t>
        </is>
      </c>
      <c r="B48" s="8" t="n">
        <v>46219</v>
      </c>
      <c r="C48" s="9" t="inlineStr">
        <is>
          <t>Email</t>
        </is>
      </c>
      <c r="D48" s="9" t="inlineStr">
        <is>
          <t>Thabo Mokoena</t>
        </is>
      </c>
      <c r="E48" s="7" t="n">
        <v>5</v>
      </c>
      <c r="F48" s="7" t="n">
        <v>9</v>
      </c>
      <c r="G48" s="7" t="inlineStr">
        <is>
          <t>Yes</t>
        </is>
      </c>
      <c r="H48" s="7">
        <f>IF(F48&gt;=9,"Promoter",IF(F48&gt;=7,"Passive","Detractor"))</f>
        <v/>
      </c>
    </row>
    <row r="49">
      <c r="A49" s="4" t="inlineStr">
        <is>
          <t>R-9045</t>
        </is>
      </c>
      <c r="B49" s="5" t="n">
        <v>46228</v>
      </c>
      <c r="C49" s="6" t="inlineStr">
        <is>
          <t>Email</t>
        </is>
      </c>
      <c r="D49" s="6" t="inlineStr">
        <is>
          <t>Naledi Molefe</t>
        </is>
      </c>
      <c r="E49" s="4" t="n">
        <v>4</v>
      </c>
      <c r="F49" s="4" t="n">
        <v>7</v>
      </c>
      <c r="G49" s="4" t="inlineStr">
        <is>
          <t>Yes</t>
        </is>
      </c>
      <c r="H49" s="4">
        <f>IF(F49&gt;=9,"Promoter",IF(F49&gt;=7,"Passive","Detractor"))</f>
        <v/>
      </c>
    </row>
    <row r="50">
      <c r="A50" s="7" t="inlineStr">
        <is>
          <t>R-9046</t>
        </is>
      </c>
      <c r="B50" s="8" t="n">
        <v>46229</v>
      </c>
      <c r="C50" s="9" t="inlineStr">
        <is>
          <t>Phone</t>
        </is>
      </c>
      <c r="D50" s="9" t="inlineStr">
        <is>
          <t>Naledi Molefe</t>
        </is>
      </c>
      <c r="E50" s="7" t="n">
        <v>4</v>
      </c>
      <c r="F50" s="7" t="n">
        <v>5</v>
      </c>
      <c r="G50" s="7" t="inlineStr">
        <is>
          <t>Yes</t>
        </is>
      </c>
      <c r="H50" s="7">
        <f>IF(F50&gt;=9,"Promoter",IF(F50&gt;=7,"Passive","Detractor"))</f>
        <v/>
      </c>
    </row>
    <row r="51">
      <c r="A51" s="4" t="inlineStr">
        <is>
          <t>R-9047</t>
        </is>
      </c>
      <c r="B51" s="5" t="n">
        <v>46224</v>
      </c>
      <c r="C51" s="6" t="inlineStr">
        <is>
          <t>Phone</t>
        </is>
      </c>
      <c r="D51" s="6" t="inlineStr">
        <is>
          <t>Ayanda Ndlovu</t>
        </is>
      </c>
      <c r="E51" s="4" t="n">
        <v>4</v>
      </c>
      <c r="F51" s="4" t="n">
        <v>7</v>
      </c>
      <c r="G51" s="4" t="inlineStr">
        <is>
          <t>No</t>
        </is>
      </c>
      <c r="H51" s="4">
        <f>IF(F51&gt;=9,"Promoter",IF(F51&gt;=7,"Passive","Detractor"))</f>
        <v/>
      </c>
    </row>
    <row r="52">
      <c r="A52" s="7" t="inlineStr">
        <is>
          <t>R-9048</t>
        </is>
      </c>
      <c r="B52" s="8" t="n">
        <v>46207</v>
      </c>
      <c r="C52" s="9" t="inlineStr">
        <is>
          <t>Phone</t>
        </is>
      </c>
      <c r="D52" s="9" t="inlineStr">
        <is>
          <t>Kagiso Khumalo</t>
        </is>
      </c>
      <c r="E52" s="7" t="n">
        <v>5</v>
      </c>
      <c r="F52" s="7" t="n">
        <v>6</v>
      </c>
      <c r="G52" s="7" t="inlineStr">
        <is>
          <t>Yes</t>
        </is>
      </c>
      <c r="H52" s="7">
        <f>IF(F52&gt;=9,"Promoter",IF(F52&gt;=7,"Passive","Detractor"))</f>
        <v/>
      </c>
    </row>
    <row r="53">
      <c r="A53" s="4" t="inlineStr">
        <is>
          <t>R-9049</t>
        </is>
      </c>
      <c r="B53" s="5" t="n">
        <v>46226</v>
      </c>
      <c r="C53" s="6" t="inlineStr">
        <is>
          <t>WhatsApp</t>
        </is>
      </c>
      <c r="D53" s="6" t="inlineStr">
        <is>
          <t>Sipho Dlamini</t>
        </is>
      </c>
      <c r="E53" s="4" t="n">
        <v>3</v>
      </c>
      <c r="F53" s="4" t="n">
        <v>8</v>
      </c>
      <c r="G53" s="4" t="inlineStr">
        <is>
          <t>Yes</t>
        </is>
      </c>
      <c r="H53" s="4">
        <f>IF(F53&gt;=9,"Promoter",IF(F53&gt;=7,"Passive","Detractor"))</f>
        <v/>
      </c>
    </row>
    <row r="54">
      <c r="A54" s="7" t="inlineStr">
        <is>
          <t>R-9050</t>
        </is>
      </c>
      <c r="B54" s="8" t="n">
        <v>46225</v>
      </c>
      <c r="C54" s="9" t="inlineStr">
        <is>
          <t>Email</t>
        </is>
      </c>
      <c r="D54" s="9" t="inlineStr">
        <is>
          <t>Lerato Nkosi</t>
        </is>
      </c>
      <c r="E54" s="7" t="n">
        <v>5</v>
      </c>
      <c r="F54" s="7" t="n">
        <v>7</v>
      </c>
      <c r="G54" s="7" t="inlineStr">
        <is>
          <t>Yes</t>
        </is>
      </c>
      <c r="H54" s="7">
        <f>IF(F54&gt;=9,"Promoter",IF(F54&gt;=7,"Passive","Detractor"))</f>
        <v/>
      </c>
    </row>
    <row r="55">
      <c r="A55" s="4" t="inlineStr">
        <is>
          <t>R-9051</t>
        </is>
      </c>
      <c r="B55" s="5" t="n">
        <v>46212</v>
      </c>
      <c r="C55" s="6" t="inlineStr">
        <is>
          <t>Chat</t>
        </is>
      </c>
      <c r="D55" s="6" t="inlineStr">
        <is>
          <t>Kagiso Khumalo</t>
        </is>
      </c>
      <c r="E55" s="4" t="n">
        <v>5</v>
      </c>
      <c r="F55" s="4" t="n">
        <v>5</v>
      </c>
      <c r="G55" s="4" t="inlineStr">
        <is>
          <t>Yes</t>
        </is>
      </c>
      <c r="H55" s="4">
        <f>IF(F55&gt;=9,"Promoter",IF(F55&gt;=7,"Passive","Detractor"))</f>
        <v/>
      </c>
    </row>
    <row r="56">
      <c r="A56" s="7" t="inlineStr">
        <is>
          <t>R-9052</t>
        </is>
      </c>
      <c r="B56" s="8" t="n">
        <v>46211</v>
      </c>
      <c r="C56" s="9" t="inlineStr">
        <is>
          <t>Email</t>
        </is>
      </c>
      <c r="D56" s="9" t="inlineStr">
        <is>
          <t>Sipho Dlamini</t>
        </is>
      </c>
      <c r="E56" s="7" t="n">
        <v>4</v>
      </c>
      <c r="F56" s="7" t="n">
        <v>10</v>
      </c>
      <c r="G56" s="7" t="inlineStr">
        <is>
          <t>Yes</t>
        </is>
      </c>
      <c r="H56" s="7">
        <f>IF(F56&gt;=9,"Promoter",IF(F56&gt;=7,"Passive","Detractor"))</f>
        <v/>
      </c>
    </row>
    <row r="57">
      <c r="A57" s="4" t="inlineStr">
        <is>
          <t>R-9053</t>
        </is>
      </c>
      <c r="B57" s="5" t="n">
        <v>46206</v>
      </c>
      <c r="C57" s="6" t="inlineStr">
        <is>
          <t>WhatsApp</t>
        </is>
      </c>
      <c r="D57" s="6" t="inlineStr">
        <is>
          <t>Kagiso Khumalo</t>
        </is>
      </c>
      <c r="E57" s="4" t="n">
        <v>5</v>
      </c>
      <c r="F57" s="4" t="n">
        <v>8</v>
      </c>
      <c r="G57" s="4" t="inlineStr">
        <is>
          <t>Yes</t>
        </is>
      </c>
      <c r="H57" s="4">
        <f>IF(F57&gt;=9,"Promoter",IF(F57&gt;=7,"Passive","Detractor"))</f>
        <v/>
      </c>
    </row>
    <row r="58">
      <c r="A58" s="7" t="inlineStr">
        <is>
          <t>R-9054</t>
        </is>
      </c>
      <c r="B58" s="8" t="n">
        <v>46229</v>
      </c>
      <c r="C58" s="9" t="inlineStr">
        <is>
          <t>Phone</t>
        </is>
      </c>
      <c r="D58" s="9" t="inlineStr">
        <is>
          <t>Ayanda Ndlovu</t>
        </is>
      </c>
      <c r="E58" s="7" t="n">
        <v>5</v>
      </c>
      <c r="F58" s="7" t="n">
        <v>4</v>
      </c>
      <c r="G58" s="7" t="inlineStr">
        <is>
          <t>Yes</t>
        </is>
      </c>
      <c r="H58" s="7">
        <f>IF(F58&gt;=9,"Promoter",IF(F58&gt;=7,"Passive","Detractor"))</f>
        <v/>
      </c>
    </row>
    <row r="59">
      <c r="A59" s="4" t="inlineStr">
        <is>
          <t>R-9055</t>
        </is>
      </c>
      <c r="B59" s="5" t="n">
        <v>46230</v>
      </c>
      <c r="C59" s="6" t="inlineStr">
        <is>
          <t>Email</t>
        </is>
      </c>
      <c r="D59" s="6" t="inlineStr">
        <is>
          <t>Ayanda Ndlovu</t>
        </is>
      </c>
      <c r="E59" s="4" t="n">
        <v>5</v>
      </c>
      <c r="F59" s="4" t="n">
        <v>2</v>
      </c>
      <c r="G59" s="4" t="inlineStr">
        <is>
          <t>Yes</t>
        </is>
      </c>
      <c r="H59" s="4">
        <f>IF(F59&gt;=9,"Promoter",IF(F59&gt;=7,"Passive","Detractor"))</f>
        <v/>
      </c>
    </row>
    <row r="60">
      <c r="A60" s="7" t="inlineStr">
        <is>
          <t>R-9056</t>
        </is>
      </c>
      <c r="B60" s="8" t="n">
        <v>46207</v>
      </c>
      <c r="C60" s="9" t="inlineStr">
        <is>
          <t>Phone</t>
        </is>
      </c>
      <c r="D60" s="9" t="inlineStr">
        <is>
          <t>Naledi Molefe</t>
        </is>
      </c>
      <c r="E60" s="7" t="n">
        <v>5</v>
      </c>
      <c r="F60" s="7" t="n">
        <v>10</v>
      </c>
      <c r="G60" s="7" t="inlineStr">
        <is>
          <t>Yes</t>
        </is>
      </c>
      <c r="H60" s="7">
        <f>IF(F60&gt;=9,"Promoter",IF(F60&gt;=7,"Passive","Detractor"))</f>
        <v/>
      </c>
    </row>
    <row r="61">
      <c r="A61" s="4" t="inlineStr">
        <is>
          <t>R-9057</t>
        </is>
      </c>
      <c r="B61" s="5" t="n">
        <v>46206</v>
      </c>
      <c r="C61" s="6" t="inlineStr">
        <is>
          <t>Chat</t>
        </is>
      </c>
      <c r="D61" s="6" t="inlineStr">
        <is>
          <t>Sipho Dlamini</t>
        </is>
      </c>
      <c r="E61" s="4" t="n">
        <v>4</v>
      </c>
      <c r="F61" s="4" t="n">
        <v>6</v>
      </c>
      <c r="G61" s="4" t="inlineStr">
        <is>
          <t>Yes</t>
        </is>
      </c>
      <c r="H61" s="4">
        <f>IF(F61&gt;=9,"Promoter",IF(F61&gt;=7,"Passive","Detractor"))</f>
        <v/>
      </c>
    </row>
    <row r="62">
      <c r="A62" s="7" t="inlineStr">
        <is>
          <t>R-9058</t>
        </is>
      </c>
      <c r="B62" s="8" t="n">
        <v>46204</v>
      </c>
      <c r="C62" s="9" t="inlineStr">
        <is>
          <t>Phone</t>
        </is>
      </c>
      <c r="D62" s="9" t="inlineStr">
        <is>
          <t>Zanele Mahlangu</t>
        </is>
      </c>
      <c r="E62" s="7" t="n">
        <v>3</v>
      </c>
      <c r="F62" s="7" t="n">
        <v>7</v>
      </c>
      <c r="G62" s="7" t="inlineStr">
        <is>
          <t>Yes</t>
        </is>
      </c>
      <c r="H62" s="7">
        <f>IF(F62&gt;=9,"Promoter",IF(F62&gt;=7,"Passive","Detractor"))</f>
        <v/>
      </c>
    </row>
    <row r="63">
      <c r="A63" s="4" t="inlineStr">
        <is>
          <t>R-9059</t>
        </is>
      </c>
      <c r="B63" s="5" t="n">
        <v>46210</v>
      </c>
      <c r="C63" s="6" t="inlineStr">
        <is>
          <t>Chat</t>
        </is>
      </c>
      <c r="D63" s="6" t="inlineStr">
        <is>
          <t>Thabo Mokoena</t>
        </is>
      </c>
      <c r="E63" s="4" t="n">
        <v>4</v>
      </c>
      <c r="F63" s="4" t="n">
        <v>9</v>
      </c>
      <c r="G63" s="4" t="inlineStr">
        <is>
          <t>Yes</t>
        </is>
      </c>
      <c r="H63" s="4">
        <f>IF(F63&gt;=9,"Promoter",IF(F63&gt;=7,"Passive","Detractor"))</f>
        <v/>
      </c>
    </row>
    <row r="64">
      <c r="A64" s="7" t="inlineStr">
        <is>
          <t>R-9060</t>
        </is>
      </c>
      <c r="B64" s="8" t="n">
        <v>46204</v>
      </c>
      <c r="C64" s="9" t="inlineStr">
        <is>
          <t>Chat</t>
        </is>
      </c>
      <c r="D64" s="9" t="inlineStr">
        <is>
          <t>Tumelo Sithole</t>
        </is>
      </c>
      <c r="E64" s="7" t="n">
        <v>5</v>
      </c>
      <c r="F64" s="7" t="n">
        <v>5</v>
      </c>
      <c r="G64" s="7" t="inlineStr">
        <is>
          <t>Yes</t>
        </is>
      </c>
      <c r="H64" s="7">
        <f>IF(F64&gt;=9,"Promoter",IF(F64&gt;=7,"Passive","Detractor"))</f>
        <v/>
      </c>
    </row>
    <row r="65">
      <c r="A65" s="4" t="inlineStr">
        <is>
          <t>R-9061</t>
        </is>
      </c>
      <c r="B65" s="5" t="n">
        <v>46210</v>
      </c>
      <c r="C65" s="6" t="inlineStr">
        <is>
          <t>Phone</t>
        </is>
      </c>
      <c r="D65" s="6" t="inlineStr">
        <is>
          <t>Ayanda Ndlovu</t>
        </is>
      </c>
      <c r="E65" s="4" t="n">
        <v>4</v>
      </c>
      <c r="F65" s="4" t="n">
        <v>2</v>
      </c>
      <c r="G65" s="4" t="inlineStr">
        <is>
          <t>Yes</t>
        </is>
      </c>
      <c r="H65" s="4">
        <f>IF(F65&gt;=9,"Promoter",IF(F65&gt;=7,"Passive","Detractor"))</f>
        <v/>
      </c>
    </row>
    <row r="66">
      <c r="A66" s="7" t="inlineStr">
        <is>
          <t>R-9062</t>
        </is>
      </c>
      <c r="B66" s="8" t="n">
        <v>46216</v>
      </c>
      <c r="C66" s="9" t="inlineStr">
        <is>
          <t>Email</t>
        </is>
      </c>
      <c r="D66" s="9" t="inlineStr">
        <is>
          <t>Lerato Nkosi</t>
        </is>
      </c>
      <c r="E66" s="7" t="n">
        <v>5</v>
      </c>
      <c r="F66" s="7" t="n">
        <v>7</v>
      </c>
      <c r="G66" s="7" t="inlineStr">
        <is>
          <t>Yes</t>
        </is>
      </c>
      <c r="H66" s="7">
        <f>IF(F66&gt;=9,"Promoter",IF(F66&gt;=7,"Passive","Detractor"))</f>
        <v/>
      </c>
    </row>
    <row r="67">
      <c r="A67" s="4" t="inlineStr">
        <is>
          <t>R-9063</t>
        </is>
      </c>
      <c r="B67" s="5" t="n">
        <v>46213</v>
      </c>
      <c r="C67" s="6" t="inlineStr">
        <is>
          <t>Chat</t>
        </is>
      </c>
      <c r="D67" s="6" t="inlineStr">
        <is>
          <t>Tumelo Sithole</t>
        </is>
      </c>
      <c r="E67" s="4" t="n">
        <v>5</v>
      </c>
      <c r="F67" s="4" t="n">
        <v>7</v>
      </c>
      <c r="G67" s="4" t="inlineStr">
        <is>
          <t>Yes</t>
        </is>
      </c>
      <c r="H67" s="4">
        <f>IF(F67&gt;=9,"Promoter",IF(F67&gt;=7,"Passive","Detractor"))</f>
        <v/>
      </c>
    </row>
    <row r="68">
      <c r="A68" s="7" t="inlineStr">
        <is>
          <t>R-9064</t>
        </is>
      </c>
      <c r="B68" s="8" t="n">
        <v>46215</v>
      </c>
      <c r="C68" s="9" t="inlineStr">
        <is>
          <t>WhatsApp</t>
        </is>
      </c>
      <c r="D68" s="9" t="inlineStr">
        <is>
          <t>Tumelo Sithole</t>
        </is>
      </c>
      <c r="E68" s="7" t="n">
        <v>1</v>
      </c>
      <c r="F68" s="7" t="n">
        <v>9</v>
      </c>
      <c r="G68" s="7" t="inlineStr">
        <is>
          <t>Yes</t>
        </is>
      </c>
      <c r="H68" s="7">
        <f>IF(F68&gt;=9,"Promoter",IF(F68&gt;=7,"Passive","Detractor"))</f>
        <v/>
      </c>
    </row>
    <row r="69">
      <c r="A69" s="4" t="inlineStr">
        <is>
          <t>R-9065</t>
        </is>
      </c>
      <c r="B69" s="5" t="n">
        <v>46224</v>
      </c>
      <c r="C69" s="6" t="inlineStr">
        <is>
          <t>Email</t>
        </is>
      </c>
      <c r="D69" s="6" t="inlineStr">
        <is>
          <t>Tumelo Sithole</t>
        </is>
      </c>
      <c r="E69" s="4" t="n">
        <v>5</v>
      </c>
      <c r="F69" s="4" t="n">
        <v>6</v>
      </c>
      <c r="G69" s="4" t="inlineStr">
        <is>
          <t>Yes</t>
        </is>
      </c>
      <c r="H69" s="4">
        <f>IF(F69&gt;=9,"Promoter",IF(F69&gt;=7,"Passive","Detractor"))</f>
        <v/>
      </c>
    </row>
    <row r="70">
      <c r="A70" s="7" t="inlineStr">
        <is>
          <t>R-9066</t>
        </is>
      </c>
      <c r="B70" s="8" t="n">
        <v>46209</v>
      </c>
      <c r="C70" s="9" t="inlineStr">
        <is>
          <t>WhatsApp</t>
        </is>
      </c>
      <c r="D70" s="9" t="inlineStr">
        <is>
          <t>Lerato Nkosi</t>
        </is>
      </c>
      <c r="E70" s="7" t="n">
        <v>5</v>
      </c>
      <c r="F70" s="7" t="n">
        <v>8</v>
      </c>
      <c r="G70" s="7" t="inlineStr">
        <is>
          <t>No</t>
        </is>
      </c>
      <c r="H70" s="7">
        <f>IF(F70&gt;=9,"Promoter",IF(F70&gt;=7,"Passive","Detractor"))</f>
        <v/>
      </c>
    </row>
    <row r="71">
      <c r="A71" s="4" t="inlineStr">
        <is>
          <t>R-9067</t>
        </is>
      </c>
      <c r="B71" s="5" t="n">
        <v>46218</v>
      </c>
      <c r="C71" s="6" t="inlineStr">
        <is>
          <t>Email</t>
        </is>
      </c>
      <c r="D71" s="6" t="inlineStr">
        <is>
          <t>Sipho Dlamini</t>
        </is>
      </c>
      <c r="E71" s="4" t="n">
        <v>1</v>
      </c>
      <c r="F71" s="4" t="n">
        <v>8</v>
      </c>
      <c r="G71" s="4" t="inlineStr">
        <is>
          <t>Yes</t>
        </is>
      </c>
      <c r="H71" s="4">
        <f>IF(F71&gt;=9,"Promoter",IF(F71&gt;=7,"Passive","Detractor"))</f>
        <v/>
      </c>
    </row>
    <row r="72">
      <c r="A72" s="7" t="inlineStr">
        <is>
          <t>R-9068</t>
        </is>
      </c>
      <c r="B72" s="8" t="n">
        <v>46216</v>
      </c>
      <c r="C72" s="9" t="inlineStr">
        <is>
          <t>Phone</t>
        </is>
      </c>
      <c r="D72" s="9" t="inlineStr">
        <is>
          <t>Zanele Mahlangu</t>
        </is>
      </c>
      <c r="E72" s="7" t="n">
        <v>5</v>
      </c>
      <c r="F72" s="7" t="n">
        <v>5</v>
      </c>
      <c r="G72" s="7" t="inlineStr">
        <is>
          <t>Yes</t>
        </is>
      </c>
      <c r="H72" s="7">
        <f>IF(F72&gt;=9,"Promoter",IF(F72&gt;=7,"Passive","Detractor"))</f>
        <v/>
      </c>
    </row>
    <row r="73">
      <c r="A73" s="4" t="inlineStr">
        <is>
          <t>R-9069</t>
        </is>
      </c>
      <c r="B73" s="5" t="n">
        <v>46209</v>
      </c>
      <c r="C73" s="6" t="inlineStr">
        <is>
          <t>Email</t>
        </is>
      </c>
      <c r="D73" s="6" t="inlineStr">
        <is>
          <t>Lerato Nkosi</t>
        </is>
      </c>
      <c r="E73" s="4" t="n">
        <v>3</v>
      </c>
      <c r="F73" s="4" t="n">
        <v>8</v>
      </c>
      <c r="G73" s="4" t="inlineStr">
        <is>
          <t>Yes</t>
        </is>
      </c>
      <c r="H73" s="4">
        <f>IF(F73&gt;=9,"Promoter",IF(F73&gt;=7,"Passive","Detractor"))</f>
        <v/>
      </c>
    </row>
    <row r="74">
      <c r="A74" s="7" t="inlineStr">
        <is>
          <t>R-9070</t>
        </is>
      </c>
      <c r="B74" s="8" t="n">
        <v>46229</v>
      </c>
      <c r="C74" s="9" t="inlineStr">
        <is>
          <t>Email</t>
        </is>
      </c>
      <c r="D74" s="9" t="inlineStr">
        <is>
          <t>Kagiso Khumalo</t>
        </is>
      </c>
      <c r="E74" s="7" t="n">
        <v>3</v>
      </c>
      <c r="F74" s="7" t="n">
        <v>10</v>
      </c>
      <c r="G74" s="7" t="inlineStr">
        <is>
          <t>No</t>
        </is>
      </c>
      <c r="H74" s="7">
        <f>IF(F74&gt;=9,"Promoter",IF(F74&gt;=7,"Passive","Detractor"))</f>
        <v/>
      </c>
    </row>
    <row r="75">
      <c r="A75" s="4" t="inlineStr">
        <is>
          <t>R-9071</t>
        </is>
      </c>
      <c r="B75" s="5" t="n">
        <v>46219</v>
      </c>
      <c r="C75" s="6" t="inlineStr">
        <is>
          <t>Chat</t>
        </is>
      </c>
      <c r="D75" s="6" t="inlineStr">
        <is>
          <t>Thabo Mokoena</t>
        </is>
      </c>
      <c r="E75" s="4" t="n">
        <v>5</v>
      </c>
      <c r="F75" s="4" t="n">
        <v>9</v>
      </c>
      <c r="G75" s="4" t="inlineStr">
        <is>
          <t>Yes</t>
        </is>
      </c>
      <c r="H75" s="4">
        <f>IF(F75&gt;=9,"Promoter",IF(F75&gt;=7,"Passive","Detractor"))</f>
        <v/>
      </c>
    </row>
    <row r="76">
      <c r="A76" s="7" t="inlineStr">
        <is>
          <t>R-9072</t>
        </is>
      </c>
      <c r="B76" s="8" t="n">
        <v>46226</v>
      </c>
      <c r="C76" s="9" t="inlineStr">
        <is>
          <t>Email</t>
        </is>
      </c>
      <c r="D76" s="9" t="inlineStr">
        <is>
          <t>Naledi Molefe</t>
        </is>
      </c>
      <c r="E76" s="7" t="n">
        <v>5</v>
      </c>
      <c r="F76" s="7" t="n">
        <v>9</v>
      </c>
      <c r="G76" s="7" t="inlineStr">
        <is>
          <t>Yes</t>
        </is>
      </c>
      <c r="H76" s="7">
        <f>IF(F76&gt;=9,"Promoter",IF(F76&gt;=7,"Passive","Detractor"))</f>
        <v/>
      </c>
    </row>
    <row r="77">
      <c r="A77" s="4" t="inlineStr">
        <is>
          <t>R-9073</t>
        </is>
      </c>
      <c r="B77" s="5" t="n">
        <v>46219</v>
      </c>
      <c r="C77" s="6" t="inlineStr">
        <is>
          <t>Email</t>
        </is>
      </c>
      <c r="D77" s="6" t="inlineStr">
        <is>
          <t>Naledi Molefe</t>
        </is>
      </c>
      <c r="E77" s="4" t="n">
        <v>2</v>
      </c>
      <c r="F77" s="4" t="n">
        <v>10</v>
      </c>
      <c r="G77" s="4" t="inlineStr">
        <is>
          <t>Yes</t>
        </is>
      </c>
      <c r="H77" s="4">
        <f>IF(F77&gt;=9,"Promoter",IF(F77&gt;=7,"Passive","Detractor"))</f>
        <v/>
      </c>
    </row>
    <row r="78">
      <c r="A78" s="7" t="inlineStr">
        <is>
          <t>R-9074</t>
        </is>
      </c>
      <c r="B78" s="8" t="n">
        <v>46215</v>
      </c>
      <c r="C78" s="9" t="inlineStr">
        <is>
          <t>Phone</t>
        </is>
      </c>
      <c r="D78" s="9" t="inlineStr">
        <is>
          <t>Sipho Dlamini</t>
        </is>
      </c>
      <c r="E78" s="7" t="n">
        <v>3</v>
      </c>
      <c r="F78" s="7" t="n">
        <v>9</v>
      </c>
      <c r="G78" s="7" t="inlineStr">
        <is>
          <t>No</t>
        </is>
      </c>
      <c r="H78" s="7">
        <f>IF(F78&gt;=9,"Promoter",IF(F78&gt;=7,"Passive","Detractor"))</f>
        <v/>
      </c>
    </row>
    <row r="79">
      <c r="A79" s="4" t="inlineStr">
        <is>
          <t>R-9075</t>
        </is>
      </c>
      <c r="B79" s="5" t="n">
        <v>46205</v>
      </c>
      <c r="C79" s="6" t="inlineStr">
        <is>
          <t>Phone</t>
        </is>
      </c>
      <c r="D79" s="6" t="inlineStr">
        <is>
          <t>Zanele Mahlangu</t>
        </is>
      </c>
      <c r="E79" s="4" t="n">
        <v>3</v>
      </c>
      <c r="F79" s="4" t="n">
        <v>8</v>
      </c>
      <c r="G79" s="4" t="inlineStr">
        <is>
          <t>Yes</t>
        </is>
      </c>
      <c r="H79" s="4">
        <f>IF(F79&gt;=9,"Promoter",IF(F79&gt;=7,"Passive","Detractor"))</f>
        <v/>
      </c>
    </row>
    <row r="80">
      <c r="A80" s="7" t="inlineStr">
        <is>
          <t>R-9076</t>
        </is>
      </c>
      <c r="B80" s="8" t="n">
        <v>46224</v>
      </c>
      <c r="C80" s="9" t="inlineStr">
        <is>
          <t>Chat</t>
        </is>
      </c>
      <c r="D80" s="9" t="inlineStr">
        <is>
          <t>Tumelo Sithole</t>
        </is>
      </c>
      <c r="E80" s="7" t="n">
        <v>4</v>
      </c>
      <c r="F80" s="7" t="n">
        <v>6</v>
      </c>
      <c r="G80" s="7" t="inlineStr">
        <is>
          <t>Yes</t>
        </is>
      </c>
      <c r="H80" s="7">
        <f>IF(F80&gt;=9,"Promoter",IF(F80&gt;=7,"Passive","Detractor"))</f>
        <v/>
      </c>
    </row>
    <row r="81">
      <c r="A81" s="4" t="inlineStr">
        <is>
          <t>R-9077</t>
        </is>
      </c>
      <c r="B81" s="5" t="n">
        <v>46215</v>
      </c>
      <c r="C81" s="6" t="inlineStr">
        <is>
          <t>WhatsApp</t>
        </is>
      </c>
      <c r="D81" s="6" t="inlineStr">
        <is>
          <t>Ayanda Ndlovu</t>
        </is>
      </c>
      <c r="E81" s="4" t="n">
        <v>3</v>
      </c>
      <c r="F81" s="4" t="n">
        <v>0</v>
      </c>
      <c r="G81" s="4" t="inlineStr">
        <is>
          <t>No</t>
        </is>
      </c>
      <c r="H81" s="4">
        <f>IF(F81&gt;=9,"Promoter",IF(F81&gt;=7,"Passive","Detractor"))</f>
        <v/>
      </c>
    </row>
    <row r="82">
      <c r="A82" s="7" t="inlineStr">
        <is>
          <t>R-9078</t>
        </is>
      </c>
      <c r="B82" s="8" t="n">
        <v>46218</v>
      </c>
      <c r="C82" s="9" t="inlineStr">
        <is>
          <t>Email</t>
        </is>
      </c>
      <c r="D82" s="9" t="inlineStr">
        <is>
          <t>Ayanda Ndlovu</t>
        </is>
      </c>
      <c r="E82" s="7" t="n">
        <v>5</v>
      </c>
      <c r="F82" s="7" t="n">
        <v>9</v>
      </c>
      <c r="G82" s="7" t="inlineStr">
        <is>
          <t>Yes</t>
        </is>
      </c>
      <c r="H82" s="7">
        <f>IF(F82&gt;=9,"Promoter",IF(F82&gt;=7,"Passive","Detractor"))</f>
        <v/>
      </c>
    </row>
    <row r="83">
      <c r="A83" s="4" t="inlineStr">
        <is>
          <t>R-9079</t>
        </is>
      </c>
      <c r="B83" s="5" t="n">
        <v>46209</v>
      </c>
      <c r="C83" s="6" t="inlineStr">
        <is>
          <t>WhatsApp</t>
        </is>
      </c>
      <c r="D83" s="6" t="inlineStr">
        <is>
          <t>Tumelo Sithole</t>
        </is>
      </c>
      <c r="E83" s="4" t="n">
        <v>3</v>
      </c>
      <c r="F83" s="4" t="n">
        <v>4</v>
      </c>
      <c r="G83" s="4" t="inlineStr">
        <is>
          <t>Yes</t>
        </is>
      </c>
      <c r="H83" s="4">
        <f>IF(F83&gt;=9,"Promoter",IF(F83&gt;=7,"Passive","Detractor"))</f>
        <v/>
      </c>
    </row>
    <row r="84">
      <c r="A84" s="7" t="inlineStr">
        <is>
          <t>R-9080</t>
        </is>
      </c>
      <c r="B84" s="8" t="n">
        <v>46206</v>
      </c>
      <c r="C84" s="9" t="inlineStr">
        <is>
          <t>WhatsApp</t>
        </is>
      </c>
      <c r="D84" s="9" t="inlineStr">
        <is>
          <t>Thabo Mokoena</t>
        </is>
      </c>
      <c r="E84" s="7" t="n">
        <v>2</v>
      </c>
      <c r="F84" s="7" t="n">
        <v>4</v>
      </c>
      <c r="G84" s="7" t="inlineStr">
        <is>
          <t>No</t>
        </is>
      </c>
      <c r="H84" s="7">
        <f>IF(F84&gt;=9,"Promoter",IF(F84&gt;=7,"Passive","Detractor"))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2" customWidth="1" min="4" max="4"/>
    <col width="3" customWidth="1" min="5" max="5"/>
    <col width="12" customWidth="1" min="6" max="6"/>
    <col width="9" customWidth="1" min="7" max="7"/>
  </cols>
  <sheetData>
    <row r="1" ht="30" customHeight="1">
      <c r="A1" s="1" t="inlineStr">
        <is>
          <t>CSAT &amp; NPS Analysis Dashboard</t>
        </is>
      </c>
    </row>
    <row r="2">
      <c r="A2" s="2" t="inlineStr">
        <is>
          <t>Live metrics computed from the Survey Responses tab</t>
        </is>
      </c>
    </row>
    <row r="4">
      <c r="A4" s="10" t="inlineStr">
        <is>
          <t>Total Responses</t>
        </is>
      </c>
      <c r="B4" s="11">
        <f>COUNTA('Survey Responses'!$A$5:$A$84)</f>
        <v/>
      </c>
    </row>
    <row r="5">
      <c r="A5" s="10" t="inlineStr">
        <is>
          <t>Average CSAT</t>
        </is>
      </c>
      <c r="B5" s="12">
        <f>AVERAGE('Survey Responses'!$E$5:$E$84)</f>
        <v/>
      </c>
    </row>
    <row r="6">
      <c r="A6" s="10" t="inlineStr">
        <is>
          <t>% Satisfied (4-5)</t>
        </is>
      </c>
      <c r="B6" s="13">
        <f>(COUNTIF('Survey Responses'!$E$5:$E$84,5)+COUNTIF('Survey Responses'!$E$5:$E$84,4))/B4</f>
        <v/>
      </c>
    </row>
    <row r="7">
      <c r="A7" s="10" t="inlineStr">
        <is>
          <t>Promoters</t>
        </is>
      </c>
      <c r="B7" s="14">
        <f>COUNTIF('Survey Responses'!$H$5:$H$84,"Promoter")</f>
        <v/>
      </c>
    </row>
    <row r="8">
      <c r="A8" s="10" t="inlineStr">
        <is>
          <t>Passives</t>
        </is>
      </c>
      <c r="B8" s="14">
        <f>COUNTIF('Survey Responses'!$H$5:$H$84,"Passive")</f>
        <v/>
      </c>
    </row>
    <row r="9">
      <c r="A9" s="10" t="inlineStr">
        <is>
          <t>Detractors</t>
        </is>
      </c>
      <c r="B9" s="14">
        <f>COUNTIF('Survey Responses'!$H$5:$H$84,"Detractor")</f>
        <v/>
      </c>
    </row>
    <row r="10">
      <c r="A10" s="10" t="inlineStr">
        <is>
          <t>NPS Score</t>
        </is>
      </c>
      <c r="B10" s="15">
        <f>(B7-B9)/B4</f>
        <v/>
      </c>
    </row>
    <row r="11">
      <c r="A11" s="10" t="inlineStr">
        <is>
          <t>First-Contact Resolution</t>
        </is>
      </c>
      <c r="B11" s="13">
        <f>COUNTIF('Survey Responses'!$G$5:$G$84,"Yes")/B4</f>
        <v/>
      </c>
    </row>
    <row r="14" ht="30" customHeight="1">
      <c r="A14" s="3" t="inlineStr">
        <is>
          <t>Channel</t>
        </is>
      </c>
      <c r="B14" s="3" t="inlineStr">
        <is>
          <t>Responses</t>
        </is>
      </c>
      <c r="C14" s="3" t="inlineStr">
        <is>
          <t>Avg CSAT</t>
        </is>
      </c>
      <c r="D14" s="3" t="inlineStr">
        <is>
          <t>% Satisfied</t>
        </is>
      </c>
      <c r="F14" s="10" t="inlineStr">
        <is>
          <t>NPS Breakdown</t>
        </is>
      </c>
    </row>
    <row r="15" ht="30" customHeight="1">
      <c r="A15" s="6" t="inlineStr">
        <is>
          <t>Phone</t>
        </is>
      </c>
      <c r="B15" s="4">
        <f>COUNTIF('Survey Responses'!$C$5:$C$84,A15)</f>
        <v/>
      </c>
      <c r="C15" s="16">
        <f>AVERAGEIF('Survey Responses'!$C$5:$C$84,A15,'Survey Responses'!$E$5:$E$84)</f>
        <v/>
      </c>
      <c r="D15" s="17">
        <f>COUNTIFS('Survey Responses'!$C$5:$C$84,A15,'Survey Responses'!$E$5:$E$84,"&gt;=4")/B15</f>
        <v/>
      </c>
      <c r="F15" s="3" t="inlineStr">
        <is>
          <t>Category</t>
        </is>
      </c>
      <c r="G15" s="3" t="inlineStr">
        <is>
          <t>Count</t>
        </is>
      </c>
    </row>
    <row r="16">
      <c r="A16" s="9" t="inlineStr">
        <is>
          <t>Email</t>
        </is>
      </c>
      <c r="B16" s="7">
        <f>COUNTIF('Survey Responses'!$C$5:$C$84,A16)</f>
        <v/>
      </c>
      <c r="C16" s="18">
        <f>AVERAGEIF('Survey Responses'!$C$5:$C$84,A16,'Survey Responses'!$E$5:$E$84)</f>
        <v/>
      </c>
      <c r="D16" s="19">
        <f>COUNTIFS('Survey Responses'!$C$5:$C$84,A16,'Survey Responses'!$E$5:$E$84,"&gt;=4")/B16</f>
        <v/>
      </c>
      <c r="F16" s="9" t="inlineStr">
        <is>
          <t>Promoter</t>
        </is>
      </c>
      <c r="G16" s="7">
        <f>COUNTIF('Survey Responses'!$H$5:$H$84,F16)</f>
        <v/>
      </c>
    </row>
    <row r="17">
      <c r="A17" s="6" t="inlineStr">
        <is>
          <t>Chat</t>
        </is>
      </c>
      <c r="B17" s="4">
        <f>COUNTIF('Survey Responses'!$C$5:$C$84,A17)</f>
        <v/>
      </c>
      <c r="C17" s="16">
        <f>AVERAGEIF('Survey Responses'!$C$5:$C$84,A17,'Survey Responses'!$E$5:$E$84)</f>
        <v/>
      </c>
      <c r="D17" s="17">
        <f>COUNTIFS('Survey Responses'!$C$5:$C$84,A17,'Survey Responses'!$E$5:$E$84,"&gt;=4")/B17</f>
        <v/>
      </c>
      <c r="F17" s="6" t="inlineStr">
        <is>
          <t>Passive</t>
        </is>
      </c>
      <c r="G17" s="4">
        <f>COUNTIF('Survey Responses'!$H$5:$H$84,F17)</f>
        <v/>
      </c>
    </row>
    <row r="18">
      <c r="A18" s="9" t="inlineStr">
        <is>
          <t>WhatsApp</t>
        </is>
      </c>
      <c r="B18" s="7">
        <f>COUNTIF('Survey Responses'!$C$5:$C$84,A18)</f>
        <v/>
      </c>
      <c r="C18" s="18">
        <f>AVERAGEIF('Survey Responses'!$C$5:$C$84,A18,'Survey Responses'!$E$5:$E$84)</f>
        <v/>
      </c>
      <c r="D18" s="19">
        <f>COUNTIFS('Survey Responses'!$C$5:$C$84,A18,'Survey Responses'!$E$5:$E$84,"&gt;=4")/B18</f>
        <v/>
      </c>
      <c r="F18" s="9" t="inlineStr">
        <is>
          <t>Detractor</t>
        </is>
      </c>
      <c r="G18" s="7">
        <f>COUNTIF('Survey Responses'!$H$5:$H$84,F18)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2026-08-08T23:26:12Z</dcterms:created>
  <dcterms:modified xmlns:dcterms="http://purl.org/dc/terms/" xmlns:xsi="http://www.w3.org/2001/XMLSchema-instance" xsi:type="dcterms:W3CDTF">2026-08-08T23:26:12Z</dcterms:modified>
</cp:coreProperties>
</file>