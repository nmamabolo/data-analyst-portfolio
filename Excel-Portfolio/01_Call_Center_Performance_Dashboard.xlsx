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tel\OneDrive\Desktop\Unique Sound\Excel-Portfolio\"/>
    </mc:Choice>
  </mc:AlternateContent>
  <xr:revisionPtr revIDLastSave="0" documentId="13_ncr:1_{A97AFB07-52D8-4F7D-A15C-8A0F6A2BE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Data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J35" i="1"/>
  <c r="A9" i="2" s="1"/>
  <c r="I35" i="1"/>
  <c r="G5" i="2" s="1"/>
  <c r="H35" i="1"/>
  <c r="G35" i="1"/>
  <c r="G9" i="2" s="1"/>
  <c r="D35" i="1"/>
  <c r="C35" i="1"/>
  <c r="B35" i="1"/>
  <c r="A5" i="2" s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35" i="1" l="1"/>
  <c r="D9" i="2" s="1"/>
  <c r="D5" i="2"/>
  <c r="E35" i="1"/>
</calcChain>
</file>

<file path=xl/sharedStrings.xml><?xml version="1.0" encoding="utf-8"?>
<sst xmlns="http://schemas.openxmlformats.org/spreadsheetml/2006/main" count="22" uniqueCount="22">
  <si>
    <t>Call Center Performance — Daily Operations Data</t>
  </si>
  <si>
    <t>Sample dataset  |  Prepared by data analyst  |  All KPIs computed with live formulas</t>
  </si>
  <si>
    <t>Date</t>
  </si>
  <si>
    <t>Calls Offered</t>
  </si>
  <si>
    <t>Calls Handled</t>
  </si>
  <si>
    <t>Calls Abandoned</t>
  </si>
  <si>
    <t>Answer Rate</t>
  </si>
  <si>
    <t>Abandon Rate</t>
  </si>
  <si>
    <t>AHT (sec)</t>
  </si>
  <si>
    <t>ASA (sec)</t>
  </si>
  <si>
    <t>Service Level</t>
  </si>
  <si>
    <t>CSAT</t>
  </si>
  <si>
    <t>Occupancy</t>
  </si>
  <si>
    <t>Average / Total</t>
  </si>
  <si>
    <t>Contact Centre KPI Dashboard — July 2026</t>
  </si>
  <si>
    <t>Auto-summarised from Daily Data tab</t>
  </si>
  <si>
    <t>Total Calls Offered</t>
  </si>
  <si>
    <t>Total Calls Handled</t>
  </si>
  <si>
    <t>Avg Service Level</t>
  </si>
  <si>
    <t>Avg CSAT</t>
  </si>
  <si>
    <t>Avg Abandon Rate</t>
  </si>
  <si>
    <t>Avg Handle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</si>
</sst>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"/>
    <numFmt numFmtId="166" formatCode="0.0%"/>
    <numFmt numFmtId="167" formatCode="0&quot;s&quot;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8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AF0FA"/>
      </patternFill>
    </fill>
    <fill>
      <patternFill patternType="solid">
        <fgColor rgb="FFBDD7EE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3" fontId="5" fillId="5" borderId="2" xfId="0" applyNumberFormat="1" applyFont="1" applyFill="1" applyBorder="1"/>
    <xf numFmtId="166" fontId="5" fillId="5" borderId="2" xfId="0" applyNumberFormat="1" applyFont="1" applyFill="1" applyBorder="1"/>
    <xf numFmtId="167" fontId="5" fillId="5" borderId="2" xfId="0" applyNumberFormat="1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Calls Offered vs Handled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'Daily Data'!$B$4</c:f>
              <c:strCache>
                <c:ptCount val="1"/>
                <c:pt idx="0">
                  <c:v>Calls Offered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'Daily Data'!$A$5:$A$34</c:f>
              <c:numCache>
                <c:formatCode>dd\-mmm</c:formatCode>
                <c:ptCount val="30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</c:numCache>
            </c:numRef>
          </c:cat>
          <c:val>
            <c:numRef>
              <c:f>'Daily Data'!$B$5:$B$34</c:f>
              <c:numCache>
                <c:formatCode>General</c:formatCode>
                <c:ptCount val="30"/>
                <c:pt idx="0">
                  <c:v>1147</c:v>
                </c:pt>
                <c:pt idx="1">
                  <c:v>1099</c:v>
                </c:pt>
                <c:pt idx="2">
                  <c:v>1128</c:v>
                </c:pt>
                <c:pt idx="3">
                  <c:v>1049</c:v>
                </c:pt>
                <c:pt idx="4">
                  <c:v>962</c:v>
                </c:pt>
                <c:pt idx="5">
                  <c:v>996</c:v>
                </c:pt>
                <c:pt idx="6">
                  <c:v>1013</c:v>
                </c:pt>
                <c:pt idx="7">
                  <c:v>1115</c:v>
                </c:pt>
                <c:pt idx="8">
                  <c:v>860</c:v>
                </c:pt>
                <c:pt idx="9">
                  <c:v>903</c:v>
                </c:pt>
                <c:pt idx="10">
                  <c:v>856</c:v>
                </c:pt>
                <c:pt idx="11">
                  <c:v>1147</c:v>
                </c:pt>
                <c:pt idx="12">
                  <c:v>836</c:v>
                </c:pt>
                <c:pt idx="13">
                  <c:v>981</c:v>
                </c:pt>
                <c:pt idx="14">
                  <c:v>955</c:v>
                </c:pt>
                <c:pt idx="15">
                  <c:v>1118</c:v>
                </c:pt>
                <c:pt idx="16">
                  <c:v>844</c:v>
                </c:pt>
                <c:pt idx="17">
                  <c:v>1017</c:v>
                </c:pt>
                <c:pt idx="18">
                  <c:v>825</c:v>
                </c:pt>
                <c:pt idx="19">
                  <c:v>970</c:v>
                </c:pt>
                <c:pt idx="20">
                  <c:v>1076</c:v>
                </c:pt>
                <c:pt idx="21">
                  <c:v>1131</c:v>
                </c:pt>
                <c:pt idx="22">
                  <c:v>1091</c:v>
                </c:pt>
                <c:pt idx="23">
                  <c:v>977</c:v>
                </c:pt>
                <c:pt idx="24">
                  <c:v>1068</c:v>
                </c:pt>
                <c:pt idx="25">
                  <c:v>1101</c:v>
                </c:pt>
                <c:pt idx="26">
                  <c:v>1096</c:v>
                </c:pt>
                <c:pt idx="27">
                  <c:v>1084</c:v>
                </c:pt>
                <c:pt idx="28">
                  <c:v>937</c:v>
                </c:pt>
                <c:pt idx="29">
                  <c:v>836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6D-471F-AAC9-1BE49AB3A952}"/>
            </c:ext>
          </c:extLst>
        </c:ser>
        <c:ser>
          <c:idx val="1"/>
          <c:order val="1"/>
          <c:tx>
            <c:strRef>
              <c:f>'Daily Data'!$C$4</c:f>
              <c:strCache>
                <c:ptCount val="1"/>
                <c:pt idx="0">
                  <c:v>Calls Handled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'Daily Data'!$A$5:$A$34</c:f>
              <c:numCache>
                <c:formatCode>dd\-mmm</c:formatCode>
                <c:ptCount val="30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</c:numCache>
            </c:numRef>
          </c:cat>
          <c:val>
            <c:numRef>
              <c:f>'Daily Data'!$C$5:$C$34</c:f>
              <c:numCache>
                <c:formatCode>General</c:formatCode>
                <c:ptCount val="30"/>
                <c:pt idx="0">
                  <c:v>1113</c:v>
                </c:pt>
                <c:pt idx="1">
                  <c:v>1068</c:v>
                </c:pt>
                <c:pt idx="2">
                  <c:v>1105</c:v>
                </c:pt>
                <c:pt idx="3">
                  <c:v>994</c:v>
                </c:pt>
                <c:pt idx="4">
                  <c:v>923</c:v>
                </c:pt>
                <c:pt idx="5">
                  <c:v>943</c:v>
                </c:pt>
                <c:pt idx="6">
                  <c:v>983</c:v>
                </c:pt>
                <c:pt idx="7">
                  <c:v>1071</c:v>
                </c:pt>
                <c:pt idx="8">
                  <c:v>811</c:v>
                </c:pt>
                <c:pt idx="9">
                  <c:v>836</c:v>
                </c:pt>
                <c:pt idx="10">
                  <c:v>815</c:v>
                </c:pt>
                <c:pt idx="11">
                  <c:v>1099</c:v>
                </c:pt>
                <c:pt idx="12">
                  <c:v>776</c:v>
                </c:pt>
                <c:pt idx="13">
                  <c:v>934</c:v>
                </c:pt>
                <c:pt idx="14">
                  <c:v>918</c:v>
                </c:pt>
                <c:pt idx="15">
                  <c:v>1047</c:v>
                </c:pt>
                <c:pt idx="16">
                  <c:v>810</c:v>
                </c:pt>
                <c:pt idx="17">
                  <c:v>949</c:v>
                </c:pt>
                <c:pt idx="18">
                  <c:v>791</c:v>
                </c:pt>
                <c:pt idx="19">
                  <c:v>895</c:v>
                </c:pt>
                <c:pt idx="20">
                  <c:v>1034</c:v>
                </c:pt>
                <c:pt idx="21">
                  <c:v>1086</c:v>
                </c:pt>
                <c:pt idx="22">
                  <c:v>1071</c:v>
                </c:pt>
                <c:pt idx="23">
                  <c:v>927</c:v>
                </c:pt>
                <c:pt idx="24">
                  <c:v>1040</c:v>
                </c:pt>
                <c:pt idx="25">
                  <c:v>1060</c:v>
                </c:pt>
                <c:pt idx="26">
                  <c:v>1051</c:v>
                </c:pt>
                <c:pt idx="27">
                  <c:v>1007</c:v>
                </c:pt>
                <c:pt idx="28">
                  <c:v>889</c:v>
                </c:pt>
                <c:pt idx="29">
                  <c:v>774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6D-471F-AAC9-1BE49AB3A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Calls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Service Level &amp; CSAT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'Daily Data'!$I$4</c:f>
              <c:strCache>
                <c:ptCount val="1"/>
                <c:pt idx="0">
                  <c:v>Service Level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'Daily Data'!$A$5:$A$34</c:f>
              <c:numCache>
                <c:formatCode>dd\-mmm</c:formatCode>
                <c:ptCount val="30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</c:numCache>
            </c:numRef>
          </c:cat>
          <c:val>
            <c:numRef>
              <c:f>'Daily Data'!$I$5:$I$34</c:f>
              <c:numCache>
                <c:formatCode>0.0%</c:formatCode>
                <c:ptCount val="30"/>
                <c:pt idx="0">
                  <c:v>0.82399999999999995</c:v>
                </c:pt>
                <c:pt idx="1">
                  <c:v>0.78600000000000003</c:v>
                </c:pt>
                <c:pt idx="2">
                  <c:v>0.90900000000000003</c:v>
                </c:pt>
                <c:pt idx="3">
                  <c:v>0.91700000000000004</c:v>
                </c:pt>
                <c:pt idx="4">
                  <c:v>0.79800000000000004</c:v>
                </c:pt>
                <c:pt idx="5">
                  <c:v>0.91100000000000003</c:v>
                </c:pt>
                <c:pt idx="6">
                  <c:v>0.92900000000000005</c:v>
                </c:pt>
                <c:pt idx="7">
                  <c:v>0.78800000000000003</c:v>
                </c:pt>
                <c:pt idx="8">
                  <c:v>0.84799999999999998</c:v>
                </c:pt>
                <c:pt idx="9">
                  <c:v>0.90100000000000002</c:v>
                </c:pt>
                <c:pt idx="10">
                  <c:v>0.80900000000000005</c:v>
                </c:pt>
                <c:pt idx="11">
                  <c:v>0.93200000000000005</c:v>
                </c:pt>
                <c:pt idx="12">
                  <c:v>0.79200000000000004</c:v>
                </c:pt>
                <c:pt idx="13">
                  <c:v>0.85099999999999998</c:v>
                </c:pt>
                <c:pt idx="14">
                  <c:v>0.877</c:v>
                </c:pt>
                <c:pt idx="15">
                  <c:v>0.96</c:v>
                </c:pt>
                <c:pt idx="16">
                  <c:v>0.80900000000000005</c:v>
                </c:pt>
                <c:pt idx="17">
                  <c:v>0.875</c:v>
                </c:pt>
                <c:pt idx="18">
                  <c:v>0.91500000000000004</c:v>
                </c:pt>
                <c:pt idx="19">
                  <c:v>0.78100000000000003</c:v>
                </c:pt>
                <c:pt idx="20">
                  <c:v>0.93700000000000006</c:v>
                </c:pt>
                <c:pt idx="21">
                  <c:v>0.91700000000000004</c:v>
                </c:pt>
                <c:pt idx="22">
                  <c:v>0.86799999999999999</c:v>
                </c:pt>
                <c:pt idx="23">
                  <c:v>0.93799999999999994</c:v>
                </c:pt>
                <c:pt idx="24">
                  <c:v>0.91800000000000004</c:v>
                </c:pt>
                <c:pt idx="25">
                  <c:v>0.93700000000000006</c:v>
                </c:pt>
                <c:pt idx="26">
                  <c:v>0.85199999999999998</c:v>
                </c:pt>
                <c:pt idx="27">
                  <c:v>0.82</c:v>
                </c:pt>
                <c:pt idx="28">
                  <c:v>0.90700000000000003</c:v>
                </c:pt>
                <c:pt idx="29">
                  <c:v>0.82299999999999995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F0-4064-A6F9-E4840C75E0D6}"/>
            </c:ext>
          </c:extLst>
        </c:ser>
        <c:ser>
          <c:idx val="1"/>
          <c:order val="1"/>
          <c:tx>
            <c:strRef>
              <c:f>'Daily Data'!$J$4</c:f>
              <c:strCache>
                <c:ptCount val="1"/>
                <c:pt idx="0">
                  <c:v>CSAT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'Daily Data'!$A$5:$A$34</c:f>
              <c:numCache>
                <c:formatCode>dd\-mmm</c:formatCode>
                <c:ptCount val="30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</c:numCache>
            </c:numRef>
          </c:cat>
          <c:val>
            <c:numRef>
              <c:f>'Daily Data'!$J$5:$J$34</c:f>
              <c:numCache>
                <c:formatCode>0.0%</c:formatCode>
                <c:ptCount val="30"/>
                <c:pt idx="0">
                  <c:v>0.82099999999999995</c:v>
                </c:pt>
                <c:pt idx="1">
                  <c:v>0.81399999999999995</c:v>
                </c:pt>
                <c:pt idx="2">
                  <c:v>0.90500000000000003</c:v>
                </c:pt>
                <c:pt idx="3">
                  <c:v>0.82399999999999995</c:v>
                </c:pt>
                <c:pt idx="4">
                  <c:v>0.85699999999999998</c:v>
                </c:pt>
                <c:pt idx="5">
                  <c:v>0.88</c:v>
                </c:pt>
                <c:pt idx="6">
                  <c:v>0.89300000000000002</c:v>
                </c:pt>
                <c:pt idx="7">
                  <c:v>0.83399999999999996</c:v>
                </c:pt>
                <c:pt idx="8">
                  <c:v>0.86799999999999999</c:v>
                </c:pt>
                <c:pt idx="9">
                  <c:v>0.90500000000000003</c:v>
                </c:pt>
                <c:pt idx="10">
                  <c:v>0.85699999999999998</c:v>
                </c:pt>
                <c:pt idx="11">
                  <c:v>0.91600000000000004</c:v>
                </c:pt>
                <c:pt idx="12">
                  <c:v>0.93700000000000006</c:v>
                </c:pt>
                <c:pt idx="13">
                  <c:v>0.93700000000000006</c:v>
                </c:pt>
                <c:pt idx="14">
                  <c:v>0.91200000000000003</c:v>
                </c:pt>
                <c:pt idx="15">
                  <c:v>0.82099999999999995</c:v>
                </c:pt>
                <c:pt idx="16">
                  <c:v>0.90200000000000002</c:v>
                </c:pt>
                <c:pt idx="17">
                  <c:v>0.94599999999999995</c:v>
                </c:pt>
                <c:pt idx="18">
                  <c:v>0.91500000000000004</c:v>
                </c:pt>
                <c:pt idx="19">
                  <c:v>0.90800000000000003</c:v>
                </c:pt>
                <c:pt idx="20">
                  <c:v>0.84499999999999997</c:v>
                </c:pt>
                <c:pt idx="21">
                  <c:v>0.88100000000000001</c:v>
                </c:pt>
                <c:pt idx="22">
                  <c:v>0.81699999999999995</c:v>
                </c:pt>
                <c:pt idx="23">
                  <c:v>0.94199999999999995</c:v>
                </c:pt>
                <c:pt idx="24">
                  <c:v>0.81899999999999995</c:v>
                </c:pt>
                <c:pt idx="25">
                  <c:v>0.86299999999999999</c:v>
                </c:pt>
                <c:pt idx="26">
                  <c:v>0.90100000000000002</c:v>
                </c:pt>
                <c:pt idx="27">
                  <c:v>0.85099999999999998</c:v>
                </c:pt>
                <c:pt idx="28">
                  <c:v>0.80900000000000005</c:v>
                </c:pt>
                <c:pt idx="29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F0-4064-A6F9-E4840C75E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426720</xdr:colOff>
      <xdr:row>12</xdr:row>
      <xdr:rowOff>53340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showGridLines="0" tabSelected="1" workbookViewId="0">
      <pane ySplit="4" topLeftCell="A8" activePane="bottomLeft" state="frozen"/>
      <selection pane="bottomLeft" sqref="A1:XFD1048576"/>
    </sheetView>
  </sheetViews>
  <sheetFormatPr defaultRowHeight="14.4" x14ac:dyDescent="0.3"/>
  <cols>
    <col min="1" max="1" width="14.21875" bestFit="1" customWidth="1"/>
    <col min="2" max="2" width="12.21875" bestFit="1" customWidth="1"/>
    <col min="3" max="3" width="12.88671875" bestFit="1" customWidth="1"/>
    <col min="4" max="4" width="10.88671875" bestFit="1" customWidth="1"/>
    <col min="5" max="5" width="7.5546875" bestFit="1" customWidth="1"/>
    <col min="6" max="6" width="8.77734375" bestFit="1" customWidth="1"/>
    <col min="7" max="8" width="9.5546875" bestFit="1" customWidth="1"/>
    <col min="9" max="9" width="7.44140625" bestFit="1" customWidth="1"/>
    <col min="10" max="10" width="6.33203125" bestFit="1" customWidth="1"/>
    <col min="11" max="11" width="10.77734375" bestFit="1" customWidth="1"/>
  </cols>
  <sheetData>
    <row r="1" spans="1:11" ht="30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2">
        <v>46204</v>
      </c>
      <c r="B5" s="3">
        <v>1147</v>
      </c>
      <c r="C5" s="3">
        <v>1113</v>
      </c>
      <c r="D5" s="3">
        <v>34</v>
      </c>
      <c r="E5" s="4">
        <f t="shared" ref="E5:E35" si="0">C5/B5</f>
        <v>0.97035745422842201</v>
      </c>
      <c r="F5" s="4">
        <f t="shared" ref="F5:F35" si="1">D5/B5</f>
        <v>2.964254577157803E-2</v>
      </c>
      <c r="G5" s="3">
        <v>243</v>
      </c>
      <c r="H5" s="3">
        <v>29</v>
      </c>
      <c r="I5" s="4">
        <v>0.82399999999999995</v>
      </c>
      <c r="J5" s="4">
        <v>0.82099999999999995</v>
      </c>
      <c r="K5" s="4">
        <v>0.73799999999999999</v>
      </c>
    </row>
    <row r="6" spans="1:11" x14ac:dyDescent="0.3">
      <c r="A6" s="5">
        <v>46205</v>
      </c>
      <c r="B6" s="6">
        <v>1099</v>
      </c>
      <c r="C6" s="6">
        <v>1068</v>
      </c>
      <c r="D6" s="6">
        <v>31</v>
      </c>
      <c r="E6" s="7">
        <f t="shared" si="0"/>
        <v>0.9717925386715196</v>
      </c>
      <c r="F6" s="7">
        <f t="shared" si="1"/>
        <v>2.8207461328480437E-2</v>
      </c>
      <c r="G6" s="6">
        <v>315</v>
      </c>
      <c r="H6" s="6">
        <v>39</v>
      </c>
      <c r="I6" s="7">
        <v>0.78600000000000003</v>
      </c>
      <c r="J6" s="7">
        <v>0.81399999999999995</v>
      </c>
      <c r="K6" s="7">
        <v>0.76200000000000001</v>
      </c>
    </row>
    <row r="7" spans="1:11" x14ac:dyDescent="0.3">
      <c r="A7" s="2">
        <v>46206</v>
      </c>
      <c r="B7" s="3">
        <v>1128</v>
      </c>
      <c r="C7" s="3">
        <v>1105</v>
      </c>
      <c r="D7" s="3">
        <v>23</v>
      </c>
      <c r="E7" s="4">
        <f t="shared" si="0"/>
        <v>0.97960992907801414</v>
      </c>
      <c r="F7" s="4">
        <f t="shared" si="1"/>
        <v>2.0390070921985817E-2</v>
      </c>
      <c r="G7" s="3">
        <v>311</v>
      </c>
      <c r="H7" s="3">
        <v>24</v>
      </c>
      <c r="I7" s="4">
        <v>0.90900000000000003</v>
      </c>
      <c r="J7" s="4">
        <v>0.90500000000000003</v>
      </c>
      <c r="K7" s="4">
        <v>0.79600000000000004</v>
      </c>
    </row>
    <row r="8" spans="1:11" x14ac:dyDescent="0.3">
      <c r="A8" s="5">
        <v>46207</v>
      </c>
      <c r="B8" s="6">
        <v>1049</v>
      </c>
      <c r="C8" s="6">
        <v>994</v>
      </c>
      <c r="D8" s="6">
        <v>55</v>
      </c>
      <c r="E8" s="7">
        <f t="shared" si="0"/>
        <v>0.94756911344137273</v>
      </c>
      <c r="F8" s="7">
        <f t="shared" si="1"/>
        <v>5.2430886558627265E-2</v>
      </c>
      <c r="G8" s="6">
        <v>343</v>
      </c>
      <c r="H8" s="6">
        <v>12</v>
      </c>
      <c r="I8" s="7">
        <v>0.91700000000000004</v>
      </c>
      <c r="J8" s="7">
        <v>0.82399999999999995</v>
      </c>
      <c r="K8" s="7">
        <v>0.79600000000000004</v>
      </c>
    </row>
    <row r="9" spans="1:11" x14ac:dyDescent="0.3">
      <c r="A9" s="2">
        <v>46208</v>
      </c>
      <c r="B9" s="3">
        <v>962</v>
      </c>
      <c r="C9" s="3">
        <v>923</v>
      </c>
      <c r="D9" s="3">
        <v>39</v>
      </c>
      <c r="E9" s="4">
        <f t="shared" si="0"/>
        <v>0.95945945945945943</v>
      </c>
      <c r="F9" s="4">
        <f t="shared" si="1"/>
        <v>4.0540540540540543E-2</v>
      </c>
      <c r="G9" s="3">
        <v>267</v>
      </c>
      <c r="H9" s="3">
        <v>33</v>
      </c>
      <c r="I9" s="4">
        <v>0.79800000000000004</v>
      </c>
      <c r="J9" s="4">
        <v>0.85699999999999998</v>
      </c>
      <c r="K9" s="4">
        <v>0.78500000000000003</v>
      </c>
    </row>
    <row r="10" spans="1:11" x14ac:dyDescent="0.3">
      <c r="A10" s="5">
        <v>46209</v>
      </c>
      <c r="B10" s="6">
        <v>996</v>
      </c>
      <c r="C10" s="6">
        <v>943</v>
      </c>
      <c r="D10" s="6">
        <v>53</v>
      </c>
      <c r="E10" s="7">
        <f t="shared" si="0"/>
        <v>0.94678714859437751</v>
      </c>
      <c r="F10" s="7">
        <f t="shared" si="1"/>
        <v>5.3212851405622492E-2</v>
      </c>
      <c r="G10" s="6">
        <v>343</v>
      </c>
      <c r="H10" s="6">
        <v>14</v>
      </c>
      <c r="I10" s="7">
        <v>0.91100000000000003</v>
      </c>
      <c r="J10" s="7">
        <v>0.88</v>
      </c>
      <c r="K10" s="7">
        <v>0.89500000000000002</v>
      </c>
    </row>
    <row r="11" spans="1:11" x14ac:dyDescent="0.3">
      <c r="A11" s="2">
        <v>46210</v>
      </c>
      <c r="B11" s="3">
        <v>1013</v>
      </c>
      <c r="C11" s="3">
        <v>983</v>
      </c>
      <c r="D11" s="3">
        <v>30</v>
      </c>
      <c r="E11" s="4">
        <f t="shared" si="0"/>
        <v>0.97038499506416587</v>
      </c>
      <c r="F11" s="4">
        <f t="shared" si="1"/>
        <v>2.9615004935834157E-2</v>
      </c>
      <c r="G11" s="3">
        <v>310</v>
      </c>
      <c r="H11" s="3">
        <v>30</v>
      </c>
      <c r="I11" s="4">
        <v>0.92900000000000005</v>
      </c>
      <c r="J11" s="4">
        <v>0.89300000000000002</v>
      </c>
      <c r="K11" s="4">
        <v>0.875</v>
      </c>
    </row>
    <row r="12" spans="1:11" x14ac:dyDescent="0.3">
      <c r="A12" s="5">
        <v>46211</v>
      </c>
      <c r="B12" s="6">
        <v>1115</v>
      </c>
      <c r="C12" s="6">
        <v>1071</v>
      </c>
      <c r="D12" s="6">
        <v>44</v>
      </c>
      <c r="E12" s="7">
        <f t="shared" si="0"/>
        <v>0.96053811659192823</v>
      </c>
      <c r="F12" s="7">
        <f t="shared" si="1"/>
        <v>3.9461883408071746E-2</v>
      </c>
      <c r="G12" s="6">
        <v>330</v>
      </c>
      <c r="H12" s="6">
        <v>16</v>
      </c>
      <c r="I12" s="7">
        <v>0.78800000000000003</v>
      </c>
      <c r="J12" s="7">
        <v>0.83399999999999996</v>
      </c>
      <c r="K12" s="7">
        <v>0.77200000000000002</v>
      </c>
    </row>
    <row r="13" spans="1:11" x14ac:dyDescent="0.3">
      <c r="A13" s="2">
        <v>46212</v>
      </c>
      <c r="B13" s="3">
        <v>860</v>
      </c>
      <c r="C13" s="3">
        <v>811</v>
      </c>
      <c r="D13" s="3">
        <v>49</v>
      </c>
      <c r="E13" s="4">
        <f t="shared" si="0"/>
        <v>0.94302325581395352</v>
      </c>
      <c r="F13" s="4">
        <f t="shared" si="1"/>
        <v>5.6976744186046514E-2</v>
      </c>
      <c r="G13" s="3">
        <v>350</v>
      </c>
      <c r="H13" s="3">
        <v>18</v>
      </c>
      <c r="I13" s="4">
        <v>0.84799999999999998</v>
      </c>
      <c r="J13" s="4">
        <v>0.86799999999999999</v>
      </c>
      <c r="K13" s="4">
        <v>0.87</v>
      </c>
    </row>
    <row r="14" spans="1:11" x14ac:dyDescent="0.3">
      <c r="A14" s="5">
        <v>46213</v>
      </c>
      <c r="B14" s="6">
        <v>903</v>
      </c>
      <c r="C14" s="6">
        <v>836</v>
      </c>
      <c r="D14" s="6">
        <v>67</v>
      </c>
      <c r="E14" s="7">
        <f t="shared" si="0"/>
        <v>0.92580287929125138</v>
      </c>
      <c r="F14" s="7">
        <f t="shared" si="1"/>
        <v>7.4197120708748621E-2</v>
      </c>
      <c r="G14" s="6">
        <v>285</v>
      </c>
      <c r="H14" s="6">
        <v>25</v>
      </c>
      <c r="I14" s="7">
        <v>0.90100000000000002</v>
      </c>
      <c r="J14" s="7">
        <v>0.90500000000000003</v>
      </c>
      <c r="K14" s="7">
        <v>0.84299999999999997</v>
      </c>
    </row>
    <row r="15" spans="1:11" x14ac:dyDescent="0.3">
      <c r="A15" s="2">
        <v>46214</v>
      </c>
      <c r="B15" s="3">
        <v>856</v>
      </c>
      <c r="C15" s="3">
        <v>815</v>
      </c>
      <c r="D15" s="3">
        <v>41</v>
      </c>
      <c r="E15" s="4">
        <f t="shared" si="0"/>
        <v>0.95210280373831779</v>
      </c>
      <c r="F15" s="4">
        <f t="shared" si="1"/>
        <v>4.7897196261682241E-2</v>
      </c>
      <c r="G15" s="3">
        <v>308</v>
      </c>
      <c r="H15" s="3">
        <v>27</v>
      </c>
      <c r="I15" s="4">
        <v>0.80900000000000005</v>
      </c>
      <c r="J15" s="4">
        <v>0.85699999999999998</v>
      </c>
      <c r="K15" s="4">
        <v>0.89800000000000002</v>
      </c>
    </row>
    <row r="16" spans="1:11" x14ac:dyDescent="0.3">
      <c r="A16" s="5">
        <v>46215</v>
      </c>
      <c r="B16" s="6">
        <v>1147</v>
      </c>
      <c r="C16" s="6">
        <v>1099</v>
      </c>
      <c r="D16" s="6">
        <v>48</v>
      </c>
      <c r="E16" s="7">
        <f t="shared" si="0"/>
        <v>0.95815170008718398</v>
      </c>
      <c r="F16" s="7">
        <f t="shared" si="1"/>
        <v>4.1848299912816043E-2</v>
      </c>
      <c r="G16" s="6">
        <v>327</v>
      </c>
      <c r="H16" s="6">
        <v>32</v>
      </c>
      <c r="I16" s="7">
        <v>0.93200000000000005</v>
      </c>
      <c r="J16" s="7">
        <v>0.91600000000000004</v>
      </c>
      <c r="K16" s="7">
        <v>0.76100000000000001</v>
      </c>
    </row>
    <row r="17" spans="1:11" x14ac:dyDescent="0.3">
      <c r="A17" s="2">
        <v>46216</v>
      </c>
      <c r="B17" s="3">
        <v>836</v>
      </c>
      <c r="C17" s="3">
        <v>776</v>
      </c>
      <c r="D17" s="3">
        <v>60</v>
      </c>
      <c r="E17" s="4">
        <f t="shared" si="0"/>
        <v>0.92822966507177029</v>
      </c>
      <c r="F17" s="4">
        <f t="shared" si="1"/>
        <v>7.1770334928229665E-2</v>
      </c>
      <c r="G17" s="3">
        <v>291</v>
      </c>
      <c r="H17" s="3">
        <v>29</v>
      </c>
      <c r="I17" s="4">
        <v>0.79200000000000004</v>
      </c>
      <c r="J17" s="4">
        <v>0.93700000000000006</v>
      </c>
      <c r="K17" s="4">
        <v>0.82199999999999995</v>
      </c>
    </row>
    <row r="18" spans="1:11" x14ac:dyDescent="0.3">
      <c r="A18" s="5">
        <v>46217</v>
      </c>
      <c r="B18" s="6">
        <v>981</v>
      </c>
      <c r="C18" s="6">
        <v>934</v>
      </c>
      <c r="D18" s="6">
        <v>47</v>
      </c>
      <c r="E18" s="7">
        <f t="shared" si="0"/>
        <v>0.95208970438328233</v>
      </c>
      <c r="F18" s="7">
        <f t="shared" si="1"/>
        <v>4.7910295616717634E-2</v>
      </c>
      <c r="G18" s="6">
        <v>323</v>
      </c>
      <c r="H18" s="6">
        <v>43</v>
      </c>
      <c r="I18" s="7">
        <v>0.85099999999999998</v>
      </c>
      <c r="J18" s="7">
        <v>0.93700000000000006</v>
      </c>
      <c r="K18" s="7">
        <v>0.80300000000000005</v>
      </c>
    </row>
    <row r="19" spans="1:11" x14ac:dyDescent="0.3">
      <c r="A19" s="2">
        <v>46218</v>
      </c>
      <c r="B19" s="3">
        <v>955</v>
      </c>
      <c r="C19" s="3">
        <v>918</v>
      </c>
      <c r="D19" s="3">
        <v>37</v>
      </c>
      <c r="E19" s="4">
        <f t="shared" si="0"/>
        <v>0.96125654450261777</v>
      </c>
      <c r="F19" s="4">
        <f t="shared" si="1"/>
        <v>3.8743455497382201E-2</v>
      </c>
      <c r="G19" s="3">
        <v>271</v>
      </c>
      <c r="H19" s="3">
        <v>47</v>
      </c>
      <c r="I19" s="4">
        <v>0.877</v>
      </c>
      <c r="J19" s="4">
        <v>0.91200000000000003</v>
      </c>
      <c r="K19" s="4">
        <v>0.79700000000000004</v>
      </c>
    </row>
    <row r="20" spans="1:11" x14ac:dyDescent="0.3">
      <c r="A20" s="5">
        <v>46219</v>
      </c>
      <c r="B20" s="6">
        <v>1118</v>
      </c>
      <c r="C20" s="6">
        <v>1047</v>
      </c>
      <c r="D20" s="6">
        <v>71</v>
      </c>
      <c r="E20" s="7">
        <f t="shared" si="0"/>
        <v>0.93649373881932019</v>
      </c>
      <c r="F20" s="7">
        <f t="shared" si="1"/>
        <v>6.3506261180679785E-2</v>
      </c>
      <c r="G20" s="6">
        <v>286</v>
      </c>
      <c r="H20" s="6">
        <v>26</v>
      </c>
      <c r="I20" s="7">
        <v>0.96</v>
      </c>
      <c r="J20" s="7">
        <v>0.82099999999999995</v>
      </c>
      <c r="K20" s="7">
        <v>0.80900000000000005</v>
      </c>
    </row>
    <row r="21" spans="1:11" x14ac:dyDescent="0.3">
      <c r="A21" s="2">
        <v>46220</v>
      </c>
      <c r="B21" s="3">
        <v>844</v>
      </c>
      <c r="C21" s="3">
        <v>810</v>
      </c>
      <c r="D21" s="3">
        <v>34</v>
      </c>
      <c r="E21" s="4">
        <f t="shared" si="0"/>
        <v>0.95971563981042651</v>
      </c>
      <c r="F21" s="4">
        <f t="shared" si="1"/>
        <v>4.0284360189573459E-2</v>
      </c>
      <c r="G21" s="3">
        <v>259</v>
      </c>
      <c r="H21" s="3">
        <v>52</v>
      </c>
      <c r="I21" s="4">
        <v>0.80900000000000005</v>
      </c>
      <c r="J21" s="4">
        <v>0.90200000000000002</v>
      </c>
      <c r="K21" s="4">
        <v>0.82699999999999996</v>
      </c>
    </row>
    <row r="22" spans="1:11" x14ac:dyDescent="0.3">
      <c r="A22" s="5">
        <v>46221</v>
      </c>
      <c r="B22" s="6">
        <v>1017</v>
      </c>
      <c r="C22" s="6">
        <v>949</v>
      </c>
      <c r="D22" s="6">
        <v>68</v>
      </c>
      <c r="E22" s="7">
        <f t="shared" si="0"/>
        <v>0.93313667649950838</v>
      </c>
      <c r="F22" s="7">
        <f t="shared" si="1"/>
        <v>6.6863323500491637E-2</v>
      </c>
      <c r="G22" s="6">
        <v>316</v>
      </c>
      <c r="H22" s="6">
        <v>41</v>
      </c>
      <c r="I22" s="7">
        <v>0.875</v>
      </c>
      <c r="J22" s="7">
        <v>0.94599999999999995</v>
      </c>
      <c r="K22" s="7">
        <v>0.875</v>
      </c>
    </row>
    <row r="23" spans="1:11" x14ac:dyDescent="0.3">
      <c r="A23" s="2">
        <v>46222</v>
      </c>
      <c r="B23" s="3">
        <v>825</v>
      </c>
      <c r="C23" s="3">
        <v>791</v>
      </c>
      <c r="D23" s="3">
        <v>34</v>
      </c>
      <c r="E23" s="4">
        <f t="shared" si="0"/>
        <v>0.95878787878787874</v>
      </c>
      <c r="F23" s="4">
        <f t="shared" si="1"/>
        <v>4.1212121212121214E-2</v>
      </c>
      <c r="G23" s="3">
        <v>327</v>
      </c>
      <c r="H23" s="3">
        <v>46</v>
      </c>
      <c r="I23" s="4">
        <v>0.91500000000000004</v>
      </c>
      <c r="J23" s="4">
        <v>0.91500000000000004</v>
      </c>
      <c r="K23" s="4">
        <v>0.78100000000000003</v>
      </c>
    </row>
    <row r="24" spans="1:11" x14ac:dyDescent="0.3">
      <c r="A24" s="5">
        <v>46223</v>
      </c>
      <c r="B24" s="6">
        <v>970</v>
      </c>
      <c r="C24" s="6">
        <v>895</v>
      </c>
      <c r="D24" s="6">
        <v>75</v>
      </c>
      <c r="E24" s="7">
        <f t="shared" si="0"/>
        <v>0.92268041237113407</v>
      </c>
      <c r="F24" s="7">
        <f t="shared" si="1"/>
        <v>7.7319587628865982E-2</v>
      </c>
      <c r="G24" s="6">
        <v>260</v>
      </c>
      <c r="H24" s="6">
        <v>41</v>
      </c>
      <c r="I24" s="7">
        <v>0.78100000000000003</v>
      </c>
      <c r="J24" s="7">
        <v>0.90800000000000003</v>
      </c>
      <c r="K24" s="7">
        <v>0.85</v>
      </c>
    </row>
    <row r="25" spans="1:11" x14ac:dyDescent="0.3">
      <c r="A25" s="2">
        <v>46224</v>
      </c>
      <c r="B25" s="3">
        <v>1076</v>
      </c>
      <c r="C25" s="3">
        <v>1034</v>
      </c>
      <c r="D25" s="3">
        <v>42</v>
      </c>
      <c r="E25" s="4">
        <f t="shared" si="0"/>
        <v>0.96096654275092941</v>
      </c>
      <c r="F25" s="4">
        <f t="shared" si="1"/>
        <v>3.9033457249070633E-2</v>
      </c>
      <c r="G25" s="3">
        <v>304</v>
      </c>
      <c r="H25" s="3">
        <v>18</v>
      </c>
      <c r="I25" s="4">
        <v>0.93700000000000006</v>
      </c>
      <c r="J25" s="4">
        <v>0.84499999999999997</v>
      </c>
      <c r="K25" s="4">
        <v>0.83499999999999996</v>
      </c>
    </row>
    <row r="26" spans="1:11" x14ac:dyDescent="0.3">
      <c r="A26" s="5">
        <v>46225</v>
      </c>
      <c r="B26" s="6">
        <v>1131</v>
      </c>
      <c r="C26" s="6">
        <v>1086</v>
      </c>
      <c r="D26" s="6">
        <v>45</v>
      </c>
      <c r="E26" s="7">
        <f t="shared" si="0"/>
        <v>0.96021220159151188</v>
      </c>
      <c r="F26" s="7">
        <f t="shared" si="1"/>
        <v>3.9787798408488062E-2</v>
      </c>
      <c r="G26" s="6">
        <v>259</v>
      </c>
      <c r="H26" s="6">
        <v>35</v>
      </c>
      <c r="I26" s="7">
        <v>0.91700000000000004</v>
      </c>
      <c r="J26" s="7">
        <v>0.88100000000000001</v>
      </c>
      <c r="K26" s="7">
        <v>0.86</v>
      </c>
    </row>
    <row r="27" spans="1:11" x14ac:dyDescent="0.3">
      <c r="A27" s="2">
        <v>46226</v>
      </c>
      <c r="B27" s="3">
        <v>1091</v>
      </c>
      <c r="C27" s="3">
        <v>1071</v>
      </c>
      <c r="D27" s="3">
        <v>20</v>
      </c>
      <c r="E27" s="4">
        <f t="shared" si="0"/>
        <v>0.98166819431714025</v>
      </c>
      <c r="F27" s="4">
        <f t="shared" si="1"/>
        <v>1.8331805682859761E-2</v>
      </c>
      <c r="G27" s="3">
        <v>316</v>
      </c>
      <c r="H27" s="3">
        <v>32</v>
      </c>
      <c r="I27" s="4">
        <v>0.86799999999999999</v>
      </c>
      <c r="J27" s="4">
        <v>0.81699999999999995</v>
      </c>
      <c r="K27" s="4">
        <v>0.78500000000000003</v>
      </c>
    </row>
    <row r="28" spans="1:11" x14ac:dyDescent="0.3">
      <c r="A28" s="5">
        <v>46227</v>
      </c>
      <c r="B28" s="6">
        <v>977</v>
      </c>
      <c r="C28" s="6">
        <v>927</v>
      </c>
      <c r="D28" s="6">
        <v>50</v>
      </c>
      <c r="E28" s="7">
        <f t="shared" si="0"/>
        <v>0.94882292732855678</v>
      </c>
      <c r="F28" s="7">
        <f t="shared" si="1"/>
        <v>5.1177072671443197E-2</v>
      </c>
      <c r="G28" s="6">
        <v>247</v>
      </c>
      <c r="H28" s="6">
        <v>27</v>
      </c>
      <c r="I28" s="7">
        <v>0.93799999999999994</v>
      </c>
      <c r="J28" s="7">
        <v>0.94199999999999995</v>
      </c>
      <c r="K28" s="7">
        <v>0.73499999999999999</v>
      </c>
    </row>
    <row r="29" spans="1:11" x14ac:dyDescent="0.3">
      <c r="A29" s="2">
        <v>46228</v>
      </c>
      <c r="B29" s="3">
        <v>1068</v>
      </c>
      <c r="C29" s="3">
        <v>1040</v>
      </c>
      <c r="D29" s="3">
        <v>28</v>
      </c>
      <c r="E29" s="4">
        <f t="shared" si="0"/>
        <v>0.97378277153558057</v>
      </c>
      <c r="F29" s="4">
        <f t="shared" si="1"/>
        <v>2.6217228464419477E-2</v>
      </c>
      <c r="G29" s="3">
        <v>337</v>
      </c>
      <c r="H29" s="3">
        <v>46</v>
      </c>
      <c r="I29" s="4">
        <v>0.91800000000000004</v>
      </c>
      <c r="J29" s="4">
        <v>0.81899999999999995</v>
      </c>
      <c r="K29" s="4">
        <v>0.80600000000000005</v>
      </c>
    </row>
    <row r="30" spans="1:11" x14ac:dyDescent="0.3">
      <c r="A30" s="5">
        <v>46229</v>
      </c>
      <c r="B30" s="6">
        <v>1101</v>
      </c>
      <c r="C30" s="6">
        <v>1060</v>
      </c>
      <c r="D30" s="6">
        <v>41</v>
      </c>
      <c r="E30" s="7">
        <f t="shared" si="0"/>
        <v>0.96276112624886467</v>
      </c>
      <c r="F30" s="7">
        <f t="shared" si="1"/>
        <v>3.7238873751135333E-2</v>
      </c>
      <c r="G30" s="6">
        <v>273</v>
      </c>
      <c r="H30" s="6">
        <v>45</v>
      </c>
      <c r="I30" s="7">
        <v>0.93700000000000006</v>
      </c>
      <c r="J30" s="7">
        <v>0.86299999999999999</v>
      </c>
      <c r="K30" s="7">
        <v>0.75800000000000001</v>
      </c>
    </row>
    <row r="31" spans="1:11" x14ac:dyDescent="0.3">
      <c r="A31" s="2">
        <v>46230</v>
      </c>
      <c r="B31" s="3">
        <v>1096</v>
      </c>
      <c r="C31" s="3">
        <v>1051</v>
      </c>
      <c r="D31" s="3">
        <v>45</v>
      </c>
      <c r="E31" s="4">
        <f t="shared" si="0"/>
        <v>0.95894160583941601</v>
      </c>
      <c r="F31" s="4">
        <f t="shared" si="1"/>
        <v>4.105839416058394E-2</v>
      </c>
      <c r="G31" s="3">
        <v>331</v>
      </c>
      <c r="H31" s="3">
        <v>31</v>
      </c>
      <c r="I31" s="4">
        <v>0.85199999999999998</v>
      </c>
      <c r="J31" s="4">
        <v>0.90100000000000002</v>
      </c>
      <c r="K31" s="4">
        <v>0.78700000000000003</v>
      </c>
    </row>
    <row r="32" spans="1:11" x14ac:dyDescent="0.3">
      <c r="A32" s="5">
        <v>46231</v>
      </c>
      <c r="B32" s="6">
        <v>1084</v>
      </c>
      <c r="C32" s="6">
        <v>1007</v>
      </c>
      <c r="D32" s="6">
        <v>77</v>
      </c>
      <c r="E32" s="7">
        <f t="shared" si="0"/>
        <v>0.9289667896678967</v>
      </c>
      <c r="F32" s="7">
        <f t="shared" si="1"/>
        <v>7.1033210332103316E-2</v>
      </c>
      <c r="G32" s="6">
        <v>255</v>
      </c>
      <c r="H32" s="6">
        <v>27</v>
      </c>
      <c r="I32" s="7">
        <v>0.82</v>
      </c>
      <c r="J32" s="7">
        <v>0.85099999999999998</v>
      </c>
      <c r="K32" s="7">
        <v>0.82599999999999996</v>
      </c>
    </row>
    <row r="33" spans="1:11" x14ac:dyDescent="0.3">
      <c r="A33" s="2">
        <v>46232</v>
      </c>
      <c r="B33" s="3">
        <v>937</v>
      </c>
      <c r="C33" s="3">
        <v>889</v>
      </c>
      <c r="D33" s="3">
        <v>48</v>
      </c>
      <c r="E33" s="4">
        <f t="shared" si="0"/>
        <v>0.94877267876200644</v>
      </c>
      <c r="F33" s="4">
        <f t="shared" si="1"/>
        <v>5.1227321237993596E-2</v>
      </c>
      <c r="G33" s="3">
        <v>240</v>
      </c>
      <c r="H33" s="3">
        <v>16</v>
      </c>
      <c r="I33" s="4">
        <v>0.90700000000000003</v>
      </c>
      <c r="J33" s="4">
        <v>0.80900000000000005</v>
      </c>
      <c r="K33" s="4">
        <v>0.73199999999999998</v>
      </c>
    </row>
    <row r="34" spans="1:11" x14ac:dyDescent="0.3">
      <c r="A34" s="5">
        <v>46233</v>
      </c>
      <c r="B34" s="6">
        <v>836</v>
      </c>
      <c r="C34" s="6">
        <v>774</v>
      </c>
      <c r="D34" s="6">
        <v>62</v>
      </c>
      <c r="E34" s="7">
        <f t="shared" si="0"/>
        <v>0.92583732057416268</v>
      </c>
      <c r="F34" s="7">
        <f t="shared" si="1"/>
        <v>7.4162679425837319E-2</v>
      </c>
      <c r="G34" s="6">
        <v>249</v>
      </c>
      <c r="H34" s="6">
        <v>44</v>
      </c>
      <c r="I34" s="7">
        <v>0.82299999999999995</v>
      </c>
      <c r="J34" s="7">
        <v>0.9</v>
      </c>
      <c r="K34" s="7">
        <v>0.75900000000000001</v>
      </c>
    </row>
    <row r="35" spans="1:11" x14ac:dyDescent="0.3">
      <c r="A35" s="8" t="s">
        <v>13</v>
      </c>
      <c r="B35" s="9">
        <f>SUM(B5:B34)</f>
        <v>30218</v>
      </c>
      <c r="C35" s="9">
        <f>SUM(C5:C34)</f>
        <v>28820</v>
      </c>
      <c r="D35" s="9">
        <f>SUM(D5:D34)</f>
        <v>1398</v>
      </c>
      <c r="E35" s="10">
        <f t="shared" si="0"/>
        <v>0.95373618373155078</v>
      </c>
      <c r="F35" s="10">
        <f t="shared" si="1"/>
        <v>4.6263816268449269E-2</v>
      </c>
      <c r="G35" s="11">
        <f>AVERAGE(G5:G34)</f>
        <v>295.86666666666667</v>
      </c>
      <c r="H35" s="11">
        <f>AVERAGE(H5:H34)</f>
        <v>31.5</v>
      </c>
      <c r="I35" s="10">
        <f>AVERAGE(I5:I34)</f>
        <v>0.87096666666666667</v>
      </c>
      <c r="J35" s="10">
        <f>AVERAGE(J5:J34)</f>
        <v>0.87599999999999978</v>
      </c>
      <c r="K35" s="10">
        <f>AVERAGE(K5:K34)</f>
        <v>0.80793333333333328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topLeftCell="A2" workbookViewId="0">
      <selection sqref="A1:J1"/>
    </sheetView>
  </sheetViews>
  <sheetFormatPr defaultRowHeight="14.4" x14ac:dyDescent="0.3"/>
  <cols>
    <col min="1" max="2" width="15" customWidth="1"/>
    <col min="3" max="3" width="6" customWidth="1"/>
    <col min="4" max="5" width="15" customWidth="1"/>
    <col min="6" max="6" width="6" customWidth="1"/>
    <col min="7" max="8" width="15" customWidth="1"/>
  </cols>
  <sheetData>
    <row r="1" spans="1:10" ht="30" customHeight="1" x14ac:dyDescent="0.3">
      <c r="A1" s="14" t="s">
        <v>14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2" t="s">
        <v>15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x14ac:dyDescent="0.3">
      <c r="A4" s="15" t="s">
        <v>16</v>
      </c>
      <c r="B4" s="13"/>
      <c r="D4" s="15" t="s">
        <v>17</v>
      </c>
      <c r="E4" s="13"/>
      <c r="G4" s="15" t="s">
        <v>18</v>
      </c>
      <c r="H4" s="13"/>
    </row>
    <row r="5" spans="1:10" x14ac:dyDescent="0.3">
      <c r="A5" s="16">
        <f>'Daily Data'!B35</f>
        <v>30218</v>
      </c>
      <c r="B5" s="13"/>
      <c r="D5" s="16">
        <f>'Daily Data'!C35</f>
        <v>28820</v>
      </c>
      <c r="E5" s="13"/>
      <c r="G5" s="17">
        <f>'Daily Data'!I35</f>
        <v>0.87096666666666667</v>
      </c>
      <c r="H5" s="13"/>
    </row>
    <row r="6" spans="1:10" x14ac:dyDescent="0.3">
      <c r="A6" s="13"/>
      <c r="B6" s="13"/>
      <c r="D6" s="13"/>
      <c r="E6" s="13"/>
      <c r="G6" s="13"/>
      <c r="H6" s="13"/>
    </row>
    <row r="8" spans="1:10" x14ac:dyDescent="0.3">
      <c r="A8" s="15" t="s">
        <v>19</v>
      </c>
      <c r="B8" s="13"/>
      <c r="D8" s="15" t="s">
        <v>20</v>
      </c>
      <c r="E8" s="13"/>
      <c r="G8" s="15" t="s">
        <v>21</v>
      </c>
      <c r="H8" s="13"/>
    </row>
    <row r="9" spans="1:10" x14ac:dyDescent="0.3">
      <c r="A9" s="17">
        <f>'Daily Data'!J35</f>
        <v>0.87599999999999978</v>
      </c>
      <c r="B9" s="13"/>
      <c r="D9" s="17">
        <f>'Daily Data'!F35</f>
        <v>4.6263816268449269E-2</v>
      </c>
      <c r="E9" s="13"/>
      <c r="G9" s="18">
        <f>'Daily Data'!G35</f>
        <v>295.86666666666667</v>
      </c>
      <c r="H9" s="13"/>
    </row>
    <row r="10" spans="1:10" x14ac:dyDescent="0.3">
      <c r="A10" s="13"/>
      <c r="B10" s="13"/>
      <c r="D10" s="13"/>
      <c r="E10" s="13"/>
      <c r="G10" s="13"/>
      <c r="H10" s="13"/>
    </row>
  </sheetData>
  <mergeCells count="14">
    <mergeCell ref="A9:B10"/>
    <mergeCell ref="G9:H10"/>
    <mergeCell ref="D9:E10"/>
    <mergeCell ref="A4:B4"/>
    <mergeCell ref="G4:H4"/>
    <mergeCell ref="A1:J1"/>
    <mergeCell ref="D8:E8"/>
    <mergeCell ref="D5:E6"/>
    <mergeCell ref="A5:B6"/>
    <mergeCell ref="G5:H6"/>
    <mergeCell ref="D4:E4"/>
    <mergeCell ref="A2:J2"/>
    <mergeCell ref="G8:H8"/>
    <mergeCell ref="A8:B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 Mamabolo</cp:lastModifiedBy>
  <dcterms:created xsi:type="dcterms:W3CDTF">2026-08-08T23:24:10Z</dcterms:created>
  <dcterms:modified xsi:type="dcterms:W3CDTF">2026-08-08T23:30:38Z</dcterms:modified>
</cp:coreProperties>
</file>