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2E5496"/>
      </patternFill>
    </fill>
    <fill>
      <patternFill patternType="solid">
        <fgColor rgb="00EAF0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5" fillId="3" borderId="0" pivotButton="0" quotePrefix="0" xfId="0"/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9" customWidth="1" min="3" max="3"/>
    <col width="9" customWidth="1" min="4" max="4"/>
    <col width="10" customWidth="1" min="5" max="5"/>
    <col width="9" customWidth="1" min="6" max="6"/>
    <col width="11" customWidth="1" min="7" max="7"/>
    <col width="12" customWidth="1" min="8" max="8"/>
    <col width="11" customWidth="1" min="9" max="9"/>
    <col width="16" customWidth="1" min="10" max="10"/>
    <col width="8" customWidth="1" min="11" max="11"/>
  </cols>
  <sheetData>
    <row r="1" ht="30" customHeight="1">
      <c r="A1" s="1" t="inlineStr">
        <is>
          <t>Agent Productivity Scorecard — Weighted Performance Ranking</t>
        </is>
      </c>
    </row>
    <row r="2">
      <c r="A2" s="2" t="inlineStr">
        <is>
          <t>Composite score = weighted blend of five KPIs (weights editable in the yellow box)</t>
        </is>
      </c>
    </row>
    <row r="4" ht="30" customHeight="1">
      <c r="A4" s="3" t="inlineStr">
        <is>
          <t>Rank</t>
        </is>
      </c>
      <c r="B4" s="3" t="inlineStr">
        <is>
          <t>Agent</t>
        </is>
      </c>
      <c r="C4" s="3" t="inlineStr">
        <is>
          <t>Team</t>
        </is>
      </c>
      <c r="D4" s="3" t="inlineStr">
        <is>
          <t>Calls/Day</t>
        </is>
      </c>
      <c r="E4" s="3" t="inlineStr">
        <is>
          <t>Quality %</t>
        </is>
      </c>
      <c r="F4" s="3" t="inlineStr">
        <is>
          <t>CSAT %</t>
        </is>
      </c>
      <c r="G4" s="3" t="inlineStr">
        <is>
          <t>Adherence %</t>
        </is>
      </c>
      <c r="H4" s="3" t="inlineStr">
        <is>
          <t>Attendance %</t>
        </is>
      </c>
      <c r="I4" s="3" t="inlineStr">
        <is>
          <t>Composite</t>
        </is>
      </c>
      <c r="J4" s="3" t="inlineStr">
        <is>
          <t>Rating</t>
        </is>
      </c>
    </row>
    <row r="5">
      <c r="A5" s="4">
        <f>RANK(I5,$I$5:$I$24)</f>
        <v/>
      </c>
      <c r="B5" s="4" t="inlineStr">
        <is>
          <t>Thabo Mokoena</t>
        </is>
      </c>
      <c r="C5" s="4" t="inlineStr">
        <is>
          <t>Alpha</t>
        </is>
      </c>
      <c r="D5" s="4" t="n">
        <v>63</v>
      </c>
      <c r="E5" s="5" t="n">
        <v>0.92</v>
      </c>
      <c r="F5" s="5" t="n">
        <v>0.9399999999999999</v>
      </c>
      <c r="G5" s="5" t="n">
        <v>0.91</v>
      </c>
      <c r="H5" s="5" t="n">
        <v>0.89</v>
      </c>
      <c r="I5" s="5">
        <f>E5*$K$5+F5*$K$6+G5*$K$7+MIN(D5/110,1)*$K$8+H5*$K$9</f>
        <v/>
      </c>
      <c r="J5" s="4">
        <f>IF(I5&gt;=0.9,"Excellent",IF(I5&gt;=0.8,"Strong",IF(I5&gt;=0.7,"Meets","Needs Coaching")))</f>
        <v/>
      </c>
      <c r="K5" s="6" t="n">
        <v>0.3</v>
      </c>
    </row>
    <row r="6">
      <c r="A6" s="7">
        <f>RANK(I6,$I$5:$I$24)</f>
        <v/>
      </c>
      <c r="B6" s="7" t="inlineStr">
        <is>
          <t>Sipho Dlamini</t>
        </is>
      </c>
      <c r="C6" s="7" t="inlineStr">
        <is>
          <t>Bravo</t>
        </is>
      </c>
      <c r="D6" s="7" t="n">
        <v>85</v>
      </c>
      <c r="E6" s="8" t="n">
        <v>0.9399999999999999</v>
      </c>
      <c r="F6" s="8" t="n">
        <v>0.77</v>
      </c>
      <c r="G6" s="8" t="n">
        <v>0.82</v>
      </c>
      <c r="H6" s="8" t="n">
        <v>0.91</v>
      </c>
      <c r="I6" s="8">
        <f>E6*$K$5+F6*$K$6+G6*$K$7+MIN(D6/110,1)*$K$8+H6*$K$9</f>
        <v/>
      </c>
      <c r="J6" s="7">
        <f>IF(I6&gt;=0.9,"Excellent",IF(I6&gt;=0.8,"Strong",IF(I6&gt;=0.7,"Meets","Needs Coaching")))</f>
        <v/>
      </c>
      <c r="K6" s="6" t="n">
        <v>0.25</v>
      </c>
    </row>
    <row r="7">
      <c r="A7" s="4">
        <f>RANK(I7,$I$5:$I$24)</f>
        <v/>
      </c>
      <c r="B7" s="4" t="inlineStr">
        <is>
          <t>Kagiso Khumalo</t>
        </is>
      </c>
      <c r="C7" s="4" t="inlineStr">
        <is>
          <t>Charlie</t>
        </is>
      </c>
      <c r="D7" s="4" t="n">
        <v>82</v>
      </c>
      <c r="E7" s="5" t="n">
        <v>0.85</v>
      </c>
      <c r="F7" s="5" t="n">
        <v>0.9399999999999999</v>
      </c>
      <c r="G7" s="5" t="n">
        <v>0.8100000000000001</v>
      </c>
      <c r="H7" s="5" t="n">
        <v>0.95</v>
      </c>
      <c r="I7" s="5">
        <f>E7*$K$5+F7*$K$6+G7*$K$7+MIN(D7/110,1)*$K$8+H7*$K$9</f>
        <v/>
      </c>
      <c r="J7" s="4">
        <f>IF(I7&gt;=0.9,"Excellent",IF(I7&gt;=0.8,"Strong",IF(I7&gt;=0.7,"Meets","Needs Coaching")))</f>
        <v/>
      </c>
      <c r="K7" s="6" t="n">
        <v>0.2</v>
      </c>
    </row>
    <row r="8">
      <c r="A8" s="7">
        <f>RANK(I8,$I$5:$I$24)</f>
        <v/>
      </c>
      <c r="B8" s="7" t="inlineStr">
        <is>
          <t>Tumelo Sithole</t>
        </is>
      </c>
      <c r="C8" s="7" t="inlineStr">
        <is>
          <t>Delta</t>
        </is>
      </c>
      <c r="D8" s="7" t="n">
        <v>96</v>
      </c>
      <c r="E8" s="8" t="n">
        <v>0.77</v>
      </c>
      <c r="F8" s="8" t="n">
        <v>0.82</v>
      </c>
      <c r="G8" s="8" t="n">
        <v>0.86</v>
      </c>
      <c r="H8" s="8" t="n">
        <v>0.98</v>
      </c>
      <c r="I8" s="8">
        <f>E8*$K$5+F8*$K$6+G8*$K$7+MIN(D8/110,1)*$K$8+H8*$K$9</f>
        <v/>
      </c>
      <c r="J8" s="7">
        <f>IF(I8&gt;=0.9,"Excellent",IF(I8&gt;=0.8,"Strong",IF(I8&gt;=0.7,"Meets","Needs Coaching")))</f>
        <v/>
      </c>
      <c r="K8" s="6" t="n">
        <v>0.15</v>
      </c>
    </row>
    <row r="9">
      <c r="A9" s="4">
        <f>RANK(I9,$I$5:$I$24)</f>
        <v/>
      </c>
      <c r="B9" s="4" t="inlineStr">
        <is>
          <t>Bongani Mabaso</t>
        </is>
      </c>
      <c r="C9" s="4" t="inlineStr">
        <is>
          <t>Alpha</t>
        </is>
      </c>
      <c r="D9" s="4" t="n">
        <v>70</v>
      </c>
      <c r="E9" s="5" t="n">
        <v>0.8</v>
      </c>
      <c r="F9" s="5" t="n">
        <v>0.85</v>
      </c>
      <c r="G9" s="5" t="n">
        <v>0.83</v>
      </c>
      <c r="H9" s="5" t="n">
        <v>0.88</v>
      </c>
      <c r="I9" s="5">
        <f>E9*$K$5+F9*$K$6+G9*$K$7+MIN(D9/110,1)*$K$8+H9*$K$9</f>
        <v/>
      </c>
      <c r="J9" s="4">
        <f>IF(I9&gt;=0.9,"Excellent",IF(I9&gt;=0.8,"Strong",IF(I9&gt;=0.7,"Meets","Needs Coaching")))</f>
        <v/>
      </c>
      <c r="K9" s="6" t="n">
        <v>0.1</v>
      </c>
    </row>
    <row r="10">
      <c r="A10" s="7">
        <f>RANK(I10,$I$5:$I$24)</f>
        <v/>
      </c>
      <c r="B10" s="7" t="inlineStr">
        <is>
          <t>Kabelo Ngcobo</t>
        </is>
      </c>
      <c r="C10" s="7" t="inlineStr">
        <is>
          <t>Bravo</t>
        </is>
      </c>
      <c r="D10" s="7" t="n">
        <v>84</v>
      </c>
      <c r="E10" s="8" t="n">
        <v>0.8100000000000001</v>
      </c>
      <c r="F10" s="8" t="n">
        <v>0.95</v>
      </c>
      <c r="G10" s="8" t="n">
        <v>0.88</v>
      </c>
      <c r="H10" s="8" t="n">
        <v>0.98</v>
      </c>
      <c r="I10" s="8">
        <f>E10*$K$5+F10*$K$6+G10*$K$7+MIN(D10/110,1)*$K$8+H10*$K$9</f>
        <v/>
      </c>
      <c r="J10" s="7">
        <f>IF(I10&gt;=0.9,"Excellent",IF(I10&gt;=0.8,"Strong",IF(I10&gt;=0.7,"Meets","Needs Coaching")))</f>
        <v/>
      </c>
      <c r="K10" s="9">
        <f>SUM(K5:K9)</f>
        <v/>
      </c>
    </row>
    <row r="11">
      <c r="A11" s="4">
        <f>RANK(I11,$I$5:$I$24)</f>
        <v/>
      </c>
      <c r="B11" s="4" t="inlineStr">
        <is>
          <t>Mpho Mthembu</t>
        </is>
      </c>
      <c r="C11" s="4" t="inlineStr">
        <is>
          <t>Charlie</t>
        </is>
      </c>
      <c r="D11" s="4" t="n">
        <v>90</v>
      </c>
      <c r="E11" s="5" t="n">
        <v>0.77</v>
      </c>
      <c r="F11" s="5" t="n">
        <v>0.88</v>
      </c>
      <c r="G11" s="5" t="n">
        <v>0.9</v>
      </c>
      <c r="H11" s="5" t="n">
        <v>0.85</v>
      </c>
      <c r="I11" s="5">
        <f>E11*$K$5+F11*$K$6+G11*$K$7+MIN(D11/110,1)*$K$8+H11*$K$9</f>
        <v/>
      </c>
      <c r="J11" s="4">
        <f>IF(I11&gt;=0.9,"Excellent",IF(I11&gt;=0.8,"Strong",IF(I11&gt;=0.7,"Meets","Needs Coaching")))</f>
        <v/>
      </c>
    </row>
    <row r="12">
      <c r="A12" s="7">
        <f>RANK(I12,$I$5:$I$24)</f>
        <v/>
      </c>
      <c r="B12" s="7" t="inlineStr">
        <is>
          <t>Sibusiso Maseko</t>
        </is>
      </c>
      <c r="C12" s="7" t="inlineStr">
        <is>
          <t>Delta</t>
        </is>
      </c>
      <c r="D12" s="7" t="n">
        <v>60</v>
      </c>
      <c r="E12" s="8" t="n">
        <v>0.97</v>
      </c>
      <c r="F12" s="8" t="n">
        <v>0.93</v>
      </c>
      <c r="G12" s="8" t="n">
        <v>0.83</v>
      </c>
      <c r="H12" s="8" t="n">
        <v>0.92</v>
      </c>
      <c r="I12" s="8">
        <f>E12*$K$5+F12*$K$6+G12*$K$7+MIN(D12/110,1)*$K$8+H12*$K$9</f>
        <v/>
      </c>
      <c r="J12" s="7">
        <f>IF(I12&gt;=0.9,"Excellent",IF(I12&gt;=0.8,"Strong",IF(I12&gt;=0.7,"Meets","Needs Coaching")))</f>
        <v/>
      </c>
    </row>
    <row r="13">
      <c r="A13" s="4">
        <f>RANK(I13,$I$5:$I$24)</f>
        <v/>
      </c>
      <c r="B13" s="4" t="inlineStr">
        <is>
          <t>Katlego Buthelezi</t>
        </is>
      </c>
      <c r="C13" s="4" t="inlineStr">
        <is>
          <t>Alpha</t>
        </is>
      </c>
      <c r="D13" s="4" t="n">
        <v>68</v>
      </c>
      <c r="E13" s="5" t="n">
        <v>0.96</v>
      </c>
      <c r="F13" s="5" t="n">
        <v>0.95</v>
      </c>
      <c r="G13" s="5" t="n">
        <v>0.83</v>
      </c>
      <c r="H13" s="5" t="n">
        <v>0.85</v>
      </c>
      <c r="I13" s="5">
        <f>E13*$K$5+F13*$K$6+G13*$K$7+MIN(D13/110,1)*$K$8+H13*$K$9</f>
        <v/>
      </c>
      <c r="J13" s="4">
        <f>IF(I13&gt;=0.9,"Excellent",IF(I13&gt;=0.8,"Strong",IF(I13&gt;=0.7,"Meets","Needs Coaching")))</f>
        <v/>
      </c>
    </row>
    <row r="14">
      <c r="A14" s="7">
        <f>RANK(I14,$I$5:$I$24)</f>
        <v/>
      </c>
      <c r="B14" s="7" t="inlineStr">
        <is>
          <t>Themba Sibiya</t>
        </is>
      </c>
      <c r="C14" s="7" t="inlineStr">
        <is>
          <t>Bravo</t>
        </is>
      </c>
      <c r="D14" s="7" t="n">
        <v>79</v>
      </c>
      <c r="E14" s="8" t="n">
        <v>0.8100000000000001</v>
      </c>
      <c r="F14" s="8" t="n">
        <v>0.92</v>
      </c>
      <c r="G14" s="8" t="n">
        <v>0.89</v>
      </c>
      <c r="H14" s="8" t="n">
        <v>0.91</v>
      </c>
      <c r="I14" s="8">
        <f>E14*$K$5+F14*$K$6+G14*$K$7+MIN(D14/110,1)*$K$8+H14*$K$9</f>
        <v/>
      </c>
      <c r="J14" s="7">
        <f>IF(I14&gt;=0.9,"Excellent",IF(I14&gt;=0.8,"Strong",IF(I14&gt;=0.7,"Meets","Needs Coaching")))</f>
        <v/>
      </c>
    </row>
    <row r="15">
      <c r="A15" s="4">
        <f>RANK(I15,$I$5:$I$24)</f>
        <v/>
      </c>
      <c r="B15" s="4" t="inlineStr">
        <is>
          <t>Musa Mokoena</t>
        </is>
      </c>
      <c r="C15" s="4" t="inlineStr">
        <is>
          <t>Charlie</t>
        </is>
      </c>
      <c r="D15" s="4" t="n">
        <v>101</v>
      </c>
      <c r="E15" s="5" t="n">
        <v>0.99</v>
      </c>
      <c r="F15" s="5" t="n">
        <v>0.86</v>
      </c>
      <c r="G15" s="5" t="n">
        <v>0.9399999999999999</v>
      </c>
      <c r="H15" s="5" t="n">
        <v>0.87</v>
      </c>
      <c r="I15" s="5">
        <f>E15*$K$5+F15*$K$6+G15*$K$7+MIN(D15/110,1)*$K$8+H15*$K$9</f>
        <v/>
      </c>
      <c r="J15" s="4">
        <f>IF(I15&gt;=0.9,"Excellent",IF(I15&gt;=0.8,"Strong",IF(I15&gt;=0.7,"Meets","Needs Coaching")))</f>
        <v/>
      </c>
    </row>
    <row r="16">
      <c r="A16" s="7">
        <f>RANK(I16,$I$5:$I$24)</f>
        <v/>
      </c>
      <c r="B16" s="7" t="inlineStr">
        <is>
          <t>Andile Dlamini</t>
        </is>
      </c>
      <c r="C16" s="7" t="inlineStr">
        <is>
          <t>Delta</t>
        </is>
      </c>
      <c r="D16" s="7" t="n">
        <v>73</v>
      </c>
      <c r="E16" s="8" t="n">
        <v>0.8</v>
      </c>
      <c r="F16" s="8" t="n">
        <v>0.73</v>
      </c>
      <c r="G16" s="8" t="n">
        <v>0.9399999999999999</v>
      </c>
      <c r="H16" s="8" t="n">
        <v>0.86</v>
      </c>
      <c r="I16" s="8">
        <f>E16*$K$5+F16*$K$6+G16*$K$7+MIN(D16/110,1)*$K$8+H16*$K$9</f>
        <v/>
      </c>
      <c r="J16" s="7">
        <f>IF(I16&gt;=0.9,"Excellent",IF(I16&gt;=0.8,"Strong",IF(I16&gt;=0.7,"Meets","Needs Coaching")))</f>
        <v/>
      </c>
    </row>
    <row r="17">
      <c r="A17" s="4">
        <f>RANK(I17,$I$5:$I$24)</f>
        <v/>
      </c>
      <c r="B17" s="4" t="inlineStr">
        <is>
          <t>Lwazi Khumalo</t>
        </is>
      </c>
      <c r="C17" s="4" t="inlineStr">
        <is>
          <t>Alpha</t>
        </is>
      </c>
      <c r="D17" s="4" t="n">
        <v>75</v>
      </c>
      <c r="E17" s="5" t="n">
        <v>0.76</v>
      </c>
      <c r="F17" s="5" t="n">
        <v>0.87</v>
      </c>
      <c r="G17" s="5" t="n">
        <v>0.9</v>
      </c>
      <c r="H17" s="5" t="n">
        <v>0.98</v>
      </c>
      <c r="I17" s="5">
        <f>E17*$K$5+F17*$K$6+G17*$K$7+MIN(D17/110,1)*$K$8+H17*$K$9</f>
        <v/>
      </c>
      <c r="J17" s="4">
        <f>IF(I17&gt;=0.9,"Excellent",IF(I17&gt;=0.8,"Strong",IF(I17&gt;=0.7,"Meets","Needs Coaching")))</f>
        <v/>
      </c>
    </row>
    <row r="18">
      <c r="A18" s="7">
        <f>RANK(I18,$I$5:$I$24)</f>
        <v/>
      </c>
      <c r="B18" s="7" t="inlineStr">
        <is>
          <t>Tshepo Sithole</t>
        </is>
      </c>
      <c r="C18" s="7" t="inlineStr">
        <is>
          <t>Bravo</t>
        </is>
      </c>
      <c r="D18" s="7" t="n">
        <v>65</v>
      </c>
      <c r="E18" s="8" t="n">
        <v>0.76</v>
      </c>
      <c r="F18" s="8" t="n">
        <v>0.85</v>
      </c>
      <c r="G18" s="8" t="n">
        <v>0.96</v>
      </c>
      <c r="H18" s="8" t="n">
        <v>0.86</v>
      </c>
      <c r="I18" s="8">
        <f>E18*$K$5+F18*$K$6+G18*$K$7+MIN(D18/110,1)*$K$8+H18*$K$9</f>
        <v/>
      </c>
      <c r="J18" s="7">
        <f>IF(I18&gt;=0.9,"Excellent",IF(I18&gt;=0.8,"Strong",IF(I18&gt;=0.7,"Meets","Needs Coaching")))</f>
        <v/>
      </c>
    </row>
    <row r="19">
      <c r="A19" s="4">
        <f>RANK(I19,$I$5:$I$24)</f>
        <v/>
      </c>
      <c r="B19" s="4" t="inlineStr">
        <is>
          <t>Sanele Mabaso</t>
        </is>
      </c>
      <c r="C19" s="4" t="inlineStr">
        <is>
          <t>Charlie</t>
        </is>
      </c>
      <c r="D19" s="4" t="n">
        <v>59</v>
      </c>
      <c r="E19" s="5" t="n">
        <v>0.91</v>
      </c>
      <c r="F19" s="5" t="n">
        <v>0.78</v>
      </c>
      <c r="G19" s="5" t="n">
        <v>0.82</v>
      </c>
      <c r="H19" s="5" t="n">
        <v>0.98</v>
      </c>
      <c r="I19" s="5">
        <f>E19*$K$5+F19*$K$6+G19*$K$7+MIN(D19/110,1)*$K$8+H19*$K$9</f>
        <v/>
      </c>
      <c r="J19" s="4">
        <f>IF(I19&gt;=0.9,"Excellent",IF(I19&gt;=0.8,"Strong",IF(I19&gt;=0.7,"Meets","Needs Coaching")))</f>
        <v/>
      </c>
    </row>
    <row r="20">
      <c r="A20" s="7">
        <f>RANK(I20,$I$5:$I$24)</f>
        <v/>
      </c>
      <c r="B20" s="7" t="inlineStr">
        <is>
          <t>Gift Ngcobo</t>
        </is>
      </c>
      <c r="C20" s="7" t="inlineStr">
        <is>
          <t>Delta</t>
        </is>
      </c>
      <c r="D20" s="7" t="n">
        <v>70</v>
      </c>
      <c r="E20" s="8" t="n">
        <v>0.89</v>
      </c>
      <c r="F20" s="8" t="n">
        <v>0.73</v>
      </c>
      <c r="G20" s="8" t="n">
        <v>0.82</v>
      </c>
      <c r="H20" s="8" t="n">
        <v>0.95</v>
      </c>
      <c r="I20" s="8">
        <f>E20*$K$5+F20*$K$6+G20*$K$7+MIN(D20/110,1)*$K$8+H20*$K$9</f>
        <v/>
      </c>
      <c r="J20" s="7">
        <f>IF(I20&gt;=0.9,"Excellent",IF(I20&gt;=0.8,"Strong",IF(I20&gt;=0.7,"Meets","Needs Coaching")))</f>
        <v/>
      </c>
    </row>
    <row r="21">
      <c r="A21" s="4">
        <f>RANK(I21,$I$5:$I$24)</f>
        <v/>
      </c>
      <c r="B21" s="4" t="inlineStr">
        <is>
          <t>Siyabonga Mthembu</t>
        </is>
      </c>
      <c r="C21" s="4" t="inlineStr">
        <is>
          <t>Alpha</t>
        </is>
      </c>
      <c r="D21" s="4" t="n">
        <v>91</v>
      </c>
      <c r="E21" s="5" t="n">
        <v>0.88</v>
      </c>
      <c r="F21" s="5" t="n">
        <v>0.95</v>
      </c>
      <c r="G21" s="5" t="n">
        <v>0.84</v>
      </c>
      <c r="H21" s="5" t="n">
        <v>0.96</v>
      </c>
      <c r="I21" s="5">
        <f>E21*$K$5+F21*$K$6+G21*$K$7+MIN(D21/110,1)*$K$8+H21*$K$9</f>
        <v/>
      </c>
      <c r="J21" s="4">
        <f>IF(I21&gt;=0.9,"Excellent",IF(I21&gt;=0.8,"Strong",IF(I21&gt;=0.7,"Meets","Needs Coaching")))</f>
        <v/>
      </c>
    </row>
    <row r="22">
      <c r="A22" s="7">
        <f>RANK(I22,$I$5:$I$24)</f>
        <v/>
      </c>
      <c r="B22" s="7" t="inlineStr">
        <is>
          <t>Mandla Maseko</t>
        </is>
      </c>
      <c r="C22" s="7" t="inlineStr">
        <is>
          <t>Bravo</t>
        </is>
      </c>
      <c r="D22" s="7" t="n">
        <v>70</v>
      </c>
      <c r="E22" s="8" t="n">
        <v>0.8100000000000001</v>
      </c>
      <c r="F22" s="8" t="n">
        <v>0.75</v>
      </c>
      <c r="G22" s="8" t="n">
        <v>0.92</v>
      </c>
      <c r="H22" s="8" t="n">
        <v>0.92</v>
      </c>
      <c r="I22" s="8">
        <f>E22*$K$5+F22*$K$6+G22*$K$7+MIN(D22/110,1)*$K$8+H22*$K$9</f>
        <v/>
      </c>
      <c r="J22" s="7">
        <f>IF(I22&gt;=0.9,"Excellent",IF(I22&gt;=0.8,"Strong",IF(I22&gt;=0.7,"Meets","Needs Coaching")))</f>
        <v/>
      </c>
    </row>
    <row r="23">
      <c r="A23" s="4">
        <f>RANK(I23,$I$5:$I$24)</f>
        <v/>
      </c>
      <c r="B23" s="4" t="inlineStr">
        <is>
          <t>Neo Buthelezi</t>
        </is>
      </c>
      <c r="C23" s="4" t="inlineStr">
        <is>
          <t>Charlie</t>
        </is>
      </c>
      <c r="D23" s="4" t="n">
        <v>103</v>
      </c>
      <c r="E23" s="5" t="n">
        <v>0.97</v>
      </c>
      <c r="F23" s="5" t="n">
        <v>0.72</v>
      </c>
      <c r="G23" s="5" t="n">
        <v>0.92</v>
      </c>
      <c r="H23" s="5" t="n">
        <v>0.93</v>
      </c>
      <c r="I23" s="5">
        <f>E23*$K$5+F23*$K$6+G23*$K$7+MIN(D23/110,1)*$K$8+H23*$K$9</f>
        <v/>
      </c>
      <c r="J23" s="4">
        <f>IF(I23&gt;=0.9,"Excellent",IF(I23&gt;=0.8,"Strong",IF(I23&gt;=0.7,"Meets","Needs Coaching")))</f>
        <v/>
      </c>
    </row>
    <row r="24">
      <c r="A24" s="7">
        <f>RANK(I24,$I$5:$I$24)</f>
        <v/>
      </c>
      <c r="B24" s="7" t="inlineStr">
        <is>
          <t>Vusi Sibiya</t>
        </is>
      </c>
      <c r="C24" s="7" t="inlineStr">
        <is>
          <t>Delta</t>
        </is>
      </c>
      <c r="D24" s="7" t="n">
        <v>61</v>
      </c>
      <c r="E24" s="8" t="n">
        <v>0.77</v>
      </c>
      <c r="F24" s="8" t="n">
        <v>0.77</v>
      </c>
      <c r="G24" s="8" t="n">
        <v>0.85</v>
      </c>
      <c r="H24" s="8" t="n">
        <v>0.99</v>
      </c>
      <c r="I24" s="8">
        <f>E24*$K$5+F24*$K$6+G24*$K$7+MIN(D24/110,1)*$K$8+H24*$K$9</f>
        <v/>
      </c>
      <c r="J24" s="7">
        <f>IF(I24&gt;=0.9,"Excellent",IF(I24&gt;=0.8,"Strong",IF(I24&gt;=0.7,"Meets","Needs Coaching")))</f>
        <v/>
      </c>
    </row>
  </sheetData>
  <mergeCells count="2">
    <mergeCell ref="A2:K2"/>
    <mergeCell ref="A1:K1"/>
  </mergeCells>
  <conditionalFormatting sqref="I5:I24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2026-08-08T23:24:10Z</dcterms:created>
  <dcterms:modified xmlns:dcterms="http://purl.org/dc/terms/" xmlns:xsi="http://www.w3.org/2001/XMLSchema-instance" xsi:type="dcterms:W3CDTF">2026-08-08T23:24:10Z</dcterms:modified>
</cp:coreProperties>
</file>