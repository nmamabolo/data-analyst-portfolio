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center" vertical="center"/>
    </xf>
    <xf numFmtId="0" fontId="3" fillId="6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0" customWidth="1" min="9" max="9"/>
    <col width="9" customWidth="1" min="10" max="10"/>
    <col width="13" customWidth="1" min="11" max="11"/>
  </cols>
  <sheetData>
    <row r="1" ht="30" customHeight="1">
      <c r="A1" s="1" t="inlineStr">
        <is>
          <t>Annual Leave &amp; PTO Tracker — 2026</t>
        </is>
      </c>
    </row>
    <row r="2">
      <c r="A2" s="2" t="inlineStr">
        <is>
          <t>Entitlement, leave taken by type, and live balance per employee</t>
        </is>
      </c>
    </row>
    <row r="4">
      <c r="A4" s="3" t="inlineStr">
        <is>
          <t>Statutory annual entitlement (days):</t>
        </is>
      </c>
      <c r="E4" s="4" t="n">
        <v>21</v>
      </c>
    </row>
    <row r="6" ht="30" customHeight="1">
      <c r="A6" s="5" t="inlineStr">
        <is>
          <t>Emp ID</t>
        </is>
      </c>
      <c r="B6" s="5" t="inlineStr">
        <is>
          <t>Employee Name</t>
        </is>
      </c>
      <c r="C6" s="5" t="inlineStr">
        <is>
          <t>Department</t>
        </is>
      </c>
      <c r="D6" s="5" t="inlineStr">
        <is>
          <t>Entitlement</t>
        </is>
      </c>
      <c r="E6" s="5" t="inlineStr">
        <is>
          <t>Annual Taken</t>
        </is>
      </c>
      <c r="F6" s="5" t="inlineStr">
        <is>
          <t>Sick Taken</t>
        </is>
      </c>
      <c r="G6" s="5" t="inlineStr">
        <is>
          <t>Family Taken</t>
        </is>
      </c>
      <c r="H6" s="5" t="inlineStr">
        <is>
          <t>Total Taken</t>
        </is>
      </c>
      <c r="I6" s="5" t="inlineStr">
        <is>
          <t>Balance</t>
        </is>
      </c>
      <c r="J6" s="5" t="inlineStr">
        <is>
          <t>% Used</t>
        </is>
      </c>
      <c r="K6" s="5" t="inlineStr">
        <is>
          <t>Status</t>
        </is>
      </c>
    </row>
    <row r="7">
      <c r="A7" s="6" t="inlineStr">
        <is>
          <t>EMP1001</t>
        </is>
      </c>
      <c r="B7" s="7" t="inlineStr">
        <is>
          <t>Thabo Mokoena</t>
        </is>
      </c>
      <c r="C7" s="7" t="inlineStr">
        <is>
          <t>Operations</t>
        </is>
      </c>
      <c r="D7" s="6">
        <f>$E$4</f>
        <v/>
      </c>
      <c r="E7" s="6" t="n">
        <v>15</v>
      </c>
      <c r="F7" s="6" t="n">
        <v>3</v>
      </c>
      <c r="G7" s="6" t="n">
        <v>2</v>
      </c>
      <c r="H7" s="6">
        <f>SUM(E7:G7)</f>
        <v/>
      </c>
      <c r="I7" s="6">
        <f>D7-E7</f>
        <v/>
      </c>
      <c r="J7" s="8">
        <f>E7/D7</f>
        <v/>
      </c>
      <c r="K7" s="6">
        <f>IF(I7&lt;=0,"Exhausted",IF(J7&gt;=0.8,"Low Balance","Healthy"))</f>
        <v/>
      </c>
    </row>
    <row r="8">
      <c r="A8" s="9" t="inlineStr">
        <is>
          <t>EMP1002</t>
        </is>
      </c>
      <c r="B8" s="10" t="inlineStr">
        <is>
          <t>Lerato Nkosi</t>
        </is>
      </c>
      <c r="C8" s="10" t="inlineStr">
        <is>
          <t>Customer Care</t>
        </is>
      </c>
      <c r="D8" s="9">
        <f>$E$4</f>
        <v/>
      </c>
      <c r="E8" s="9" t="n">
        <v>13</v>
      </c>
      <c r="F8" s="9" t="n">
        <v>7</v>
      </c>
      <c r="G8" s="9" t="n">
        <v>0</v>
      </c>
      <c r="H8" s="9">
        <f>SUM(E8:G8)</f>
        <v/>
      </c>
      <c r="I8" s="9">
        <f>D8-E8</f>
        <v/>
      </c>
      <c r="J8" s="11">
        <f>E8/D8</f>
        <v/>
      </c>
      <c r="K8" s="9">
        <f>IF(I8&lt;=0,"Exhausted",IF(J8&gt;=0.8,"Low Balance","Healthy"))</f>
        <v/>
      </c>
    </row>
    <row r="9">
      <c r="A9" s="6" t="inlineStr">
        <is>
          <t>EMP1003</t>
        </is>
      </c>
      <c r="B9" s="7" t="inlineStr">
        <is>
          <t>Sipho Dlamini</t>
        </is>
      </c>
      <c r="C9" s="7" t="inlineStr">
        <is>
          <t>Sales</t>
        </is>
      </c>
      <c r="D9" s="6">
        <f>$E$4</f>
        <v/>
      </c>
      <c r="E9" s="6" t="n">
        <v>12</v>
      </c>
      <c r="F9" s="6" t="n">
        <v>5</v>
      </c>
      <c r="G9" s="6" t="n">
        <v>3</v>
      </c>
      <c r="H9" s="6">
        <f>SUM(E9:G9)</f>
        <v/>
      </c>
      <c r="I9" s="6">
        <f>D9-E9</f>
        <v/>
      </c>
      <c r="J9" s="8">
        <f>E9/D9</f>
        <v/>
      </c>
      <c r="K9" s="6">
        <f>IF(I9&lt;=0,"Exhausted",IF(J9&gt;=0.8,"Low Balance","Healthy"))</f>
        <v/>
      </c>
    </row>
    <row r="10">
      <c r="A10" s="9" t="inlineStr">
        <is>
          <t>EMP1004</t>
        </is>
      </c>
      <c r="B10" s="10" t="inlineStr">
        <is>
          <t>Naledi Molefe</t>
        </is>
      </c>
      <c r="C10" s="10" t="inlineStr">
        <is>
          <t>IT Support</t>
        </is>
      </c>
      <c r="D10" s="9">
        <f>$E$4</f>
        <v/>
      </c>
      <c r="E10" s="9" t="n">
        <v>5</v>
      </c>
      <c r="F10" s="9" t="n">
        <v>7</v>
      </c>
      <c r="G10" s="9" t="n">
        <v>1</v>
      </c>
      <c r="H10" s="9">
        <f>SUM(E10:G10)</f>
        <v/>
      </c>
      <c r="I10" s="9">
        <f>D10-E10</f>
        <v/>
      </c>
      <c r="J10" s="11">
        <f>E10/D10</f>
        <v/>
      </c>
      <c r="K10" s="9">
        <f>IF(I10&lt;=0,"Exhausted",IF(J10&gt;=0.8,"Low Balance","Healthy"))</f>
        <v/>
      </c>
    </row>
    <row r="11">
      <c r="A11" s="6" t="inlineStr">
        <is>
          <t>EMP1005</t>
        </is>
      </c>
      <c r="B11" s="7" t="inlineStr">
        <is>
          <t>Kagiso Khumalo</t>
        </is>
      </c>
      <c r="C11" s="7" t="inlineStr">
        <is>
          <t>Admin</t>
        </is>
      </c>
      <c r="D11" s="6">
        <f>$E$4</f>
        <v/>
      </c>
      <c r="E11" s="6" t="n">
        <v>0</v>
      </c>
      <c r="F11" s="6" t="n">
        <v>6</v>
      </c>
      <c r="G11" s="6" t="n">
        <v>0</v>
      </c>
      <c r="H11" s="6">
        <f>SUM(E11:G11)</f>
        <v/>
      </c>
      <c r="I11" s="6">
        <f>D11-E11</f>
        <v/>
      </c>
      <c r="J11" s="8">
        <f>E11/D11</f>
        <v/>
      </c>
      <c r="K11" s="6">
        <f>IF(I11&lt;=0,"Exhausted",IF(J11&gt;=0.8,"Low Balance","Healthy"))</f>
        <v/>
      </c>
    </row>
    <row r="12">
      <c r="A12" s="9" t="inlineStr">
        <is>
          <t>EMP1006</t>
        </is>
      </c>
      <c r="B12" s="10" t="inlineStr">
        <is>
          <t>Zanele Mahlangu</t>
        </is>
      </c>
      <c r="C12" s="10" t="inlineStr">
        <is>
          <t>Quality</t>
        </is>
      </c>
      <c r="D12" s="9">
        <f>$E$4</f>
        <v/>
      </c>
      <c r="E12" s="9" t="n">
        <v>2</v>
      </c>
      <c r="F12" s="9" t="n">
        <v>6</v>
      </c>
      <c r="G12" s="9" t="n">
        <v>1</v>
      </c>
      <c r="H12" s="9">
        <f>SUM(E12:G12)</f>
        <v/>
      </c>
      <c r="I12" s="9">
        <f>D12-E12</f>
        <v/>
      </c>
      <c r="J12" s="11">
        <f>E12/D12</f>
        <v/>
      </c>
      <c r="K12" s="9">
        <f>IF(I12&lt;=0,"Exhausted",IF(J12&gt;=0.8,"Low Balance","Healthy"))</f>
        <v/>
      </c>
    </row>
    <row r="13">
      <c r="A13" s="6" t="inlineStr">
        <is>
          <t>EMP1007</t>
        </is>
      </c>
      <c r="B13" s="7" t="inlineStr">
        <is>
          <t>Tumelo Sithole</t>
        </is>
      </c>
      <c r="C13" s="7" t="inlineStr">
        <is>
          <t>Operations</t>
        </is>
      </c>
      <c r="D13" s="6">
        <f>$E$4</f>
        <v/>
      </c>
      <c r="E13" s="6" t="n">
        <v>14</v>
      </c>
      <c r="F13" s="6" t="n">
        <v>2</v>
      </c>
      <c r="G13" s="6" t="n">
        <v>0</v>
      </c>
      <c r="H13" s="6">
        <f>SUM(E13:G13)</f>
        <v/>
      </c>
      <c r="I13" s="6">
        <f>D13-E13</f>
        <v/>
      </c>
      <c r="J13" s="8">
        <f>E13/D13</f>
        <v/>
      </c>
      <c r="K13" s="6">
        <f>IF(I13&lt;=0,"Exhausted",IF(J13&gt;=0.8,"Low Balance","Healthy"))</f>
        <v/>
      </c>
    </row>
    <row r="14">
      <c r="A14" s="9" t="inlineStr">
        <is>
          <t>EMP1008</t>
        </is>
      </c>
      <c r="B14" s="10" t="inlineStr">
        <is>
          <t>Ayanda Ndlovu</t>
        </is>
      </c>
      <c r="C14" s="10" t="inlineStr">
        <is>
          <t>Customer Care</t>
        </is>
      </c>
      <c r="D14" s="9">
        <f>$E$4</f>
        <v/>
      </c>
      <c r="E14" s="9" t="n">
        <v>8</v>
      </c>
      <c r="F14" s="9" t="n">
        <v>6</v>
      </c>
      <c r="G14" s="9" t="n">
        <v>2</v>
      </c>
      <c r="H14" s="9">
        <f>SUM(E14:G14)</f>
        <v/>
      </c>
      <c r="I14" s="9">
        <f>D14-E14</f>
        <v/>
      </c>
      <c r="J14" s="11">
        <f>E14/D14</f>
        <v/>
      </c>
      <c r="K14" s="9">
        <f>IF(I14&lt;=0,"Exhausted",IF(J14&gt;=0.8,"Low Balance","Healthy"))</f>
        <v/>
      </c>
    </row>
    <row r="15">
      <c r="A15" s="6" t="inlineStr">
        <is>
          <t>EMP1009</t>
        </is>
      </c>
      <c r="B15" s="7" t="inlineStr">
        <is>
          <t>Bongani Mabaso</t>
        </is>
      </c>
      <c r="C15" s="7" t="inlineStr">
        <is>
          <t>Sales</t>
        </is>
      </c>
      <c r="D15" s="6">
        <f>$E$4</f>
        <v/>
      </c>
      <c r="E15" s="6" t="n">
        <v>6</v>
      </c>
      <c r="F15" s="6" t="n">
        <v>7</v>
      </c>
      <c r="G15" s="6" t="n">
        <v>2</v>
      </c>
      <c r="H15" s="6">
        <f>SUM(E15:G15)</f>
        <v/>
      </c>
      <c r="I15" s="6">
        <f>D15-E15</f>
        <v/>
      </c>
      <c r="J15" s="8">
        <f>E15/D15</f>
        <v/>
      </c>
      <c r="K15" s="6">
        <f>IF(I15&lt;=0,"Exhausted",IF(J15&gt;=0.8,"Low Balance","Healthy"))</f>
        <v/>
      </c>
    </row>
    <row r="16">
      <c r="A16" s="9" t="inlineStr">
        <is>
          <t>EMP1010</t>
        </is>
      </c>
      <c r="B16" s="10" t="inlineStr">
        <is>
          <t>Nomvula Zulu</t>
        </is>
      </c>
      <c r="C16" s="10" t="inlineStr">
        <is>
          <t>IT Support</t>
        </is>
      </c>
      <c r="D16" s="9">
        <f>$E$4</f>
        <v/>
      </c>
      <c r="E16" s="9" t="n">
        <v>10</v>
      </c>
      <c r="F16" s="9" t="n">
        <v>6</v>
      </c>
      <c r="G16" s="9" t="n">
        <v>2</v>
      </c>
      <c r="H16" s="9">
        <f>SUM(E16:G16)</f>
        <v/>
      </c>
      <c r="I16" s="9">
        <f>D16-E16</f>
        <v/>
      </c>
      <c r="J16" s="11">
        <f>E16/D16</f>
        <v/>
      </c>
      <c r="K16" s="9">
        <f>IF(I16&lt;=0,"Exhausted",IF(J16&gt;=0.8,"Low Balance","Healthy"))</f>
        <v/>
      </c>
    </row>
    <row r="17">
      <c r="A17" s="6" t="inlineStr">
        <is>
          <t>EMP1011</t>
        </is>
      </c>
      <c r="B17" s="7" t="inlineStr">
        <is>
          <t>Kabelo Ngcobo</t>
        </is>
      </c>
      <c r="C17" s="7" t="inlineStr">
        <is>
          <t>Admin</t>
        </is>
      </c>
      <c r="D17" s="6">
        <f>$E$4</f>
        <v/>
      </c>
      <c r="E17" s="6" t="n">
        <v>13</v>
      </c>
      <c r="F17" s="6" t="n">
        <v>4</v>
      </c>
      <c r="G17" s="6" t="n">
        <v>0</v>
      </c>
      <c r="H17" s="6">
        <f>SUM(E17:G17)</f>
        <v/>
      </c>
      <c r="I17" s="6">
        <f>D17-E17</f>
        <v/>
      </c>
      <c r="J17" s="8">
        <f>E17/D17</f>
        <v/>
      </c>
      <c r="K17" s="6">
        <f>IF(I17&lt;=0,"Exhausted",IF(J17&gt;=0.8,"Low Balance","Healthy"))</f>
        <v/>
      </c>
    </row>
    <row r="18">
      <c r="A18" s="9" t="inlineStr">
        <is>
          <t>EMP1012</t>
        </is>
      </c>
      <c r="B18" s="10" t="inlineStr">
        <is>
          <t>Refilwe Radebe</t>
        </is>
      </c>
      <c r="C18" s="10" t="inlineStr">
        <is>
          <t>Quality</t>
        </is>
      </c>
      <c r="D18" s="9">
        <f>$E$4</f>
        <v/>
      </c>
      <c r="E18" s="9" t="n">
        <v>15</v>
      </c>
      <c r="F18" s="9" t="n">
        <v>0</v>
      </c>
      <c r="G18" s="9" t="n">
        <v>0</v>
      </c>
      <c r="H18" s="9">
        <f>SUM(E18:G18)</f>
        <v/>
      </c>
      <c r="I18" s="9">
        <f>D18-E18</f>
        <v/>
      </c>
      <c r="J18" s="11">
        <f>E18/D18</f>
        <v/>
      </c>
      <c r="K18" s="9">
        <f>IF(I18&lt;=0,"Exhausted",IF(J18&gt;=0.8,"Low Balance","Healthy"))</f>
        <v/>
      </c>
    </row>
    <row r="19">
      <c r="A19" s="6" t="inlineStr">
        <is>
          <t>EMP1013</t>
        </is>
      </c>
      <c r="B19" s="7" t="inlineStr">
        <is>
          <t>Mpho Mthembu</t>
        </is>
      </c>
      <c r="C19" s="7" t="inlineStr">
        <is>
          <t>Operations</t>
        </is>
      </c>
      <c r="D19" s="6">
        <f>$E$4</f>
        <v/>
      </c>
      <c r="E19" s="6" t="n">
        <v>11</v>
      </c>
      <c r="F19" s="6" t="n">
        <v>3</v>
      </c>
      <c r="G19" s="6" t="n">
        <v>0</v>
      </c>
      <c r="H19" s="6">
        <f>SUM(E19:G19)</f>
        <v/>
      </c>
      <c r="I19" s="6">
        <f>D19-E19</f>
        <v/>
      </c>
      <c r="J19" s="8">
        <f>E19/D19</f>
        <v/>
      </c>
      <c r="K19" s="6">
        <f>IF(I19&lt;=0,"Exhausted",IF(J19&gt;=0.8,"Low Balance","Healthy"))</f>
        <v/>
      </c>
    </row>
    <row r="20">
      <c r="A20" s="9" t="inlineStr">
        <is>
          <t>EMP1014</t>
        </is>
      </c>
      <c r="B20" s="10" t="inlineStr">
        <is>
          <t>Lindiwe Tshabalala</t>
        </is>
      </c>
      <c r="C20" s="10" t="inlineStr">
        <is>
          <t>Customer Care</t>
        </is>
      </c>
      <c r="D20" s="9">
        <f>$E$4</f>
        <v/>
      </c>
      <c r="E20" s="9" t="n">
        <v>1</v>
      </c>
      <c r="F20" s="9" t="n">
        <v>0</v>
      </c>
      <c r="G20" s="9" t="n">
        <v>1</v>
      </c>
      <c r="H20" s="9">
        <f>SUM(E20:G20)</f>
        <v/>
      </c>
      <c r="I20" s="9">
        <f>D20-E20</f>
        <v/>
      </c>
      <c r="J20" s="11">
        <f>E20/D20</f>
        <v/>
      </c>
      <c r="K20" s="9">
        <f>IF(I20&lt;=0,"Exhausted",IF(J20&gt;=0.8,"Low Balance","Healthy"))</f>
        <v/>
      </c>
    </row>
    <row r="21">
      <c r="A21" s="6" t="inlineStr">
        <is>
          <t>EMP1015</t>
        </is>
      </c>
      <c r="B21" s="7" t="inlineStr">
        <is>
          <t>Sibusiso Maseko</t>
        </is>
      </c>
      <c r="C21" s="7" t="inlineStr">
        <is>
          <t>Sales</t>
        </is>
      </c>
      <c r="D21" s="6">
        <f>$E$4</f>
        <v/>
      </c>
      <c r="E21" s="6" t="n">
        <v>6</v>
      </c>
      <c r="F21" s="6" t="n">
        <v>0</v>
      </c>
      <c r="G21" s="6" t="n">
        <v>1</v>
      </c>
      <c r="H21" s="6">
        <f>SUM(E21:G21)</f>
        <v/>
      </c>
      <c r="I21" s="6">
        <f>D21-E21</f>
        <v/>
      </c>
      <c r="J21" s="8">
        <f>E21/D21</f>
        <v/>
      </c>
      <c r="K21" s="6">
        <f>IF(I21&lt;=0,"Exhausted",IF(J21&gt;=0.8,"Low Balance","Healthy"))</f>
        <v/>
      </c>
    </row>
    <row r="22">
      <c r="A22" s="9" t="inlineStr">
        <is>
          <t>EMP1016</t>
        </is>
      </c>
      <c r="B22" s="10" t="inlineStr">
        <is>
          <t>Palesa Cele</t>
        </is>
      </c>
      <c r="C22" s="10" t="inlineStr">
        <is>
          <t>IT Support</t>
        </is>
      </c>
      <c r="D22" s="9">
        <f>$E$4</f>
        <v/>
      </c>
      <c r="E22" s="9" t="n">
        <v>7</v>
      </c>
      <c r="F22" s="9" t="n">
        <v>2</v>
      </c>
      <c r="G22" s="9" t="n">
        <v>3</v>
      </c>
      <c r="H22" s="9">
        <f>SUM(E22:G22)</f>
        <v/>
      </c>
      <c r="I22" s="9">
        <f>D22-E22</f>
        <v/>
      </c>
      <c r="J22" s="11">
        <f>E22/D22</f>
        <v/>
      </c>
      <c r="K22" s="9">
        <f>IF(I22&lt;=0,"Exhausted",IF(J22&gt;=0.8,"Low Balance","Healthy"))</f>
        <v/>
      </c>
    </row>
    <row r="23">
      <c r="A23" s="6" t="inlineStr">
        <is>
          <t>EMP1017</t>
        </is>
      </c>
      <c r="B23" s="7" t="inlineStr">
        <is>
          <t>Katlego Buthelezi</t>
        </is>
      </c>
      <c r="C23" s="7" t="inlineStr">
        <is>
          <t>Admin</t>
        </is>
      </c>
      <c r="D23" s="6">
        <f>$E$4</f>
        <v/>
      </c>
      <c r="E23" s="6" t="n">
        <v>3</v>
      </c>
      <c r="F23" s="6" t="n">
        <v>3</v>
      </c>
      <c r="G23" s="6" t="n">
        <v>3</v>
      </c>
      <c r="H23" s="6">
        <f>SUM(E23:G23)</f>
        <v/>
      </c>
      <c r="I23" s="6">
        <f>D23-E23</f>
        <v/>
      </c>
      <c r="J23" s="8">
        <f>E23/D23</f>
        <v/>
      </c>
      <c r="K23" s="6">
        <f>IF(I23&lt;=0,"Exhausted",IF(J23&gt;=0.8,"Low Balance","Healthy"))</f>
        <v/>
      </c>
    </row>
    <row r="24">
      <c r="A24" s="9" t="inlineStr">
        <is>
          <t>EMP1018</t>
        </is>
      </c>
      <c r="B24" s="10" t="inlineStr">
        <is>
          <t>Nonhlanhla Motaung</t>
        </is>
      </c>
      <c r="C24" s="10" t="inlineStr">
        <is>
          <t>Quality</t>
        </is>
      </c>
      <c r="D24" s="9">
        <f>$E$4</f>
        <v/>
      </c>
      <c r="E24" s="9" t="n">
        <v>8</v>
      </c>
      <c r="F24" s="9" t="n">
        <v>5</v>
      </c>
      <c r="G24" s="9" t="n">
        <v>1</v>
      </c>
      <c r="H24" s="9">
        <f>SUM(E24:G24)</f>
        <v/>
      </c>
      <c r="I24" s="9">
        <f>D24-E24</f>
        <v/>
      </c>
      <c r="J24" s="11">
        <f>E24/D24</f>
        <v/>
      </c>
      <c r="K24" s="9">
        <f>IF(I24&lt;=0,"Exhausted",IF(J24&gt;=0.8,"Low Balance","Healthy"))</f>
        <v/>
      </c>
    </row>
    <row r="25">
      <c r="A25" s="6" t="inlineStr">
        <is>
          <t>EMP1019</t>
        </is>
      </c>
      <c r="B25" s="7" t="inlineStr">
        <is>
          <t>Themba Sibiya</t>
        </is>
      </c>
      <c r="C25" s="7" t="inlineStr">
        <is>
          <t>Operations</t>
        </is>
      </c>
      <c r="D25" s="6">
        <f>$E$4</f>
        <v/>
      </c>
      <c r="E25" s="6" t="n">
        <v>3</v>
      </c>
      <c r="F25" s="6" t="n">
        <v>2</v>
      </c>
      <c r="G25" s="6" t="n">
        <v>2</v>
      </c>
      <c r="H25" s="6">
        <f>SUM(E25:G25)</f>
        <v/>
      </c>
      <c r="I25" s="6">
        <f>D25-E25</f>
        <v/>
      </c>
      <c r="J25" s="8">
        <f>E25/D25</f>
        <v/>
      </c>
      <c r="K25" s="6">
        <f>IF(I25&lt;=0,"Exhausted",IF(J25&gt;=0.8,"Low Balance","Healthy"))</f>
        <v/>
      </c>
    </row>
    <row r="26">
      <c r="A26" s="9" t="inlineStr">
        <is>
          <t>EMP1020</t>
        </is>
      </c>
      <c r="B26" s="10" t="inlineStr">
        <is>
          <t>Dineo Naidoo</t>
        </is>
      </c>
      <c r="C26" s="10" t="inlineStr">
        <is>
          <t>Customer Care</t>
        </is>
      </c>
      <c r="D26" s="9">
        <f>$E$4</f>
        <v/>
      </c>
      <c r="E26" s="9" t="n">
        <v>3</v>
      </c>
      <c r="F26" s="9" t="n">
        <v>0</v>
      </c>
      <c r="G26" s="9" t="n">
        <v>2</v>
      </c>
      <c r="H26" s="9">
        <f>SUM(E26:G26)</f>
        <v/>
      </c>
      <c r="I26" s="9">
        <f>D26-E26</f>
        <v/>
      </c>
      <c r="J26" s="11">
        <f>E26/D26</f>
        <v/>
      </c>
      <c r="K26" s="9">
        <f>IF(I26&lt;=0,"Exhausted",IF(J26&gt;=0.8,"Low Balance","Healthy"))</f>
        <v/>
      </c>
    </row>
    <row r="27">
      <c r="A27" s="6" t="inlineStr">
        <is>
          <t>EMP1021</t>
        </is>
      </c>
      <c r="B27" s="7" t="inlineStr">
        <is>
          <t>Musa Mokoena</t>
        </is>
      </c>
      <c r="C27" s="7" t="inlineStr">
        <is>
          <t>Sales</t>
        </is>
      </c>
      <c r="D27" s="6">
        <f>$E$4</f>
        <v/>
      </c>
      <c r="E27" s="6" t="n">
        <v>12</v>
      </c>
      <c r="F27" s="6" t="n">
        <v>6</v>
      </c>
      <c r="G27" s="6" t="n">
        <v>1</v>
      </c>
      <c r="H27" s="6">
        <f>SUM(E27:G27)</f>
        <v/>
      </c>
      <c r="I27" s="6">
        <f>D27-E27</f>
        <v/>
      </c>
      <c r="J27" s="8">
        <f>E27/D27</f>
        <v/>
      </c>
      <c r="K27" s="6">
        <f>IF(I27&lt;=0,"Exhausted",IF(J27&gt;=0.8,"Low Balance","Healthy"))</f>
        <v/>
      </c>
    </row>
    <row r="28">
      <c r="A28" s="9" t="inlineStr">
        <is>
          <t>EMP1022</t>
        </is>
      </c>
      <c r="B28" s="10" t="inlineStr">
        <is>
          <t>Precious Nkosi</t>
        </is>
      </c>
      <c r="C28" s="10" t="inlineStr">
        <is>
          <t>IT Support</t>
        </is>
      </c>
      <c r="D28" s="9">
        <f>$E$4</f>
        <v/>
      </c>
      <c r="E28" s="9" t="n">
        <v>2</v>
      </c>
      <c r="F28" s="9" t="n">
        <v>3</v>
      </c>
      <c r="G28" s="9" t="n">
        <v>0</v>
      </c>
      <c r="H28" s="9">
        <f>SUM(E28:G28)</f>
        <v/>
      </c>
      <c r="I28" s="9">
        <f>D28-E28</f>
        <v/>
      </c>
      <c r="J28" s="11">
        <f>E28/D28</f>
        <v/>
      </c>
      <c r="K28" s="9">
        <f>IF(I28&lt;=0,"Exhausted",IF(J28&gt;=0.8,"Low Balance","Healthy"))</f>
        <v/>
      </c>
    </row>
    <row r="29">
      <c r="A29" s="6" t="inlineStr">
        <is>
          <t>EMP1023</t>
        </is>
      </c>
      <c r="B29" s="7" t="inlineStr">
        <is>
          <t>Andile Dlamini</t>
        </is>
      </c>
      <c r="C29" s="7" t="inlineStr">
        <is>
          <t>Admin</t>
        </is>
      </c>
      <c r="D29" s="6">
        <f>$E$4</f>
        <v/>
      </c>
      <c r="E29" s="6" t="n">
        <v>9</v>
      </c>
      <c r="F29" s="6" t="n">
        <v>1</v>
      </c>
      <c r="G29" s="6" t="n">
        <v>0</v>
      </c>
      <c r="H29" s="6">
        <f>SUM(E29:G29)</f>
        <v/>
      </c>
      <c r="I29" s="6">
        <f>D29-E29</f>
        <v/>
      </c>
      <c r="J29" s="8">
        <f>E29/D29</f>
        <v/>
      </c>
      <c r="K29" s="6">
        <f>IF(I29&lt;=0,"Exhausted",IF(J29&gt;=0.8,"Low Balance","Healthy"))</f>
        <v/>
      </c>
    </row>
    <row r="30">
      <c r="A30" s="9" t="inlineStr">
        <is>
          <t>EMP1024</t>
        </is>
      </c>
      <c r="B30" s="10" t="inlineStr">
        <is>
          <t>Boitumelo Molefe</t>
        </is>
      </c>
      <c r="C30" s="10" t="inlineStr">
        <is>
          <t>Quality</t>
        </is>
      </c>
      <c r="D30" s="9">
        <f>$E$4</f>
        <v/>
      </c>
      <c r="E30" s="9" t="n">
        <v>11</v>
      </c>
      <c r="F30" s="9" t="n">
        <v>6</v>
      </c>
      <c r="G30" s="9" t="n">
        <v>2</v>
      </c>
      <c r="H30" s="9">
        <f>SUM(E30:G30)</f>
        <v/>
      </c>
      <c r="I30" s="9">
        <f>D30-E30</f>
        <v/>
      </c>
      <c r="J30" s="11">
        <f>E30/D30</f>
        <v/>
      </c>
      <c r="K30" s="9">
        <f>IF(I30&lt;=0,"Exhausted",IF(J30&gt;=0.8,"Low Balance","Healthy"))</f>
        <v/>
      </c>
    </row>
    <row r="31">
      <c r="A31" s="6" t="inlineStr">
        <is>
          <t>EMP1025</t>
        </is>
      </c>
      <c r="B31" s="7" t="inlineStr">
        <is>
          <t>Lwazi Khumalo</t>
        </is>
      </c>
      <c r="C31" s="7" t="inlineStr">
        <is>
          <t>Operations</t>
        </is>
      </c>
      <c r="D31" s="6">
        <f>$E$4</f>
        <v/>
      </c>
      <c r="E31" s="6" t="n">
        <v>2</v>
      </c>
      <c r="F31" s="6" t="n">
        <v>5</v>
      </c>
      <c r="G31" s="6" t="n">
        <v>0</v>
      </c>
      <c r="H31" s="6">
        <f>SUM(E31:G31)</f>
        <v/>
      </c>
      <c r="I31" s="6">
        <f>D31-E31</f>
        <v/>
      </c>
      <c r="J31" s="8">
        <f>E31/D31</f>
        <v/>
      </c>
      <c r="K31" s="6">
        <f>IF(I31&lt;=0,"Exhausted",IF(J31&gt;=0.8,"Low Balance","Healthy"))</f>
        <v/>
      </c>
    </row>
    <row r="32">
      <c r="A32" s="12" t="n"/>
      <c r="B32" s="12" t="inlineStr">
        <is>
          <t>TOTALS</t>
        </is>
      </c>
      <c r="C32" s="12" t="n"/>
      <c r="D32" s="12" t="n"/>
      <c r="E32" s="12">
        <f>SUM(E7:E31)</f>
        <v/>
      </c>
      <c r="F32" s="12">
        <f>SUM(F7:F31)</f>
        <v/>
      </c>
      <c r="G32" s="12">
        <f>SUM(G7:G31)</f>
        <v/>
      </c>
      <c r="H32" s="12">
        <f>SUM(H7:H31)</f>
        <v/>
      </c>
      <c r="I32" s="12" t="n"/>
      <c r="J32" s="12" t="n"/>
      <c r="K32" s="12" t="n"/>
    </row>
  </sheetData>
  <mergeCells count="3">
    <mergeCell ref="A2:K2"/>
    <mergeCell ref="A1:K1"/>
    <mergeCell ref="A4:D4"/>
  </mergeCells>
  <conditionalFormatting sqref="K7:K31">
    <cfRule type="cellIs" priority="1" operator="equal" dxfId="0">
      <formula>"Exhausted"</formula>
    </cfRule>
    <cfRule type="cellIs" priority="2" operator="equal" dxfId="1">
      <formula>"Low Balance"</formula>
    </cfRule>
    <cfRule type="cellIs" priority="3" operator="equal" dxfId="2">
      <formula>"Healthy"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2026-08-08T23:24:10Z</dcterms:created>
  <dcterms:modified xmlns:dcterms="http://purl.org/dc/terms/" xmlns:xsi="http://www.w3.org/2001/XMLSchema-instance" xsi:type="dcterms:W3CDTF">2026-08-08T23:24:10Z</dcterms:modified>
</cp:coreProperties>
</file>