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Fu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0.0%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165" fontId="4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166" fontId="6" fillId="4" borderId="0" pivotButton="0" quotePrefix="0" xfId="0"/>
    <xf numFmtId="167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Hiring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'Funnel'!$A$5:$A$9</f>
            </numRef>
          </cat>
          <val>
            <numRef>
              <f>'Funnel'!$B$5:$B$9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Applicants by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'Funnel'!$F$5:$F$9</f>
            </numRef>
          </cat>
          <val>
            <numRef>
              <f>'Funnel'!$G$5:$G$9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1" customWidth="1" min="4" max="4"/>
    <col width="11" customWidth="1" min="5" max="5"/>
    <col width="14" customWidth="1" min="6" max="6"/>
    <col width="13" customWidth="1" min="7" max="7"/>
    <col width="12" customWidth="1" min="8" max="8"/>
  </cols>
  <sheetData>
    <row r="1" ht="30" customHeight="1">
      <c r="A1" s="1" t="inlineStr">
        <is>
          <t>Recruitment Pipeline — Candidate Tracker</t>
        </is>
      </c>
    </row>
    <row r="2">
      <c r="A2" s="2" t="inlineStr">
        <is>
          <t>Applicant records feeding the hiring funnel on the Funnel tab</t>
        </is>
      </c>
    </row>
    <row r="4" ht="30" customHeight="1">
      <c r="A4" s="3" t="inlineStr">
        <is>
          <t>Candidate ID</t>
        </is>
      </c>
      <c r="B4" s="3" t="inlineStr">
        <is>
          <t>Candidate Name</t>
        </is>
      </c>
      <c r="C4" s="3" t="inlineStr">
        <is>
          <t>Role</t>
        </is>
      </c>
      <c r="D4" s="3" t="inlineStr">
        <is>
          <t>Source</t>
        </is>
      </c>
      <c r="E4" s="3" t="inlineStr">
        <is>
          <t>Applied Date</t>
        </is>
      </c>
      <c r="F4" s="3" t="inlineStr">
        <is>
          <t>Furthest Stage</t>
        </is>
      </c>
      <c r="G4" s="3" t="inlineStr">
        <is>
          <t>Days in Process</t>
        </is>
      </c>
      <c r="H4" s="3" t="inlineStr">
        <is>
          <t>Outcome</t>
        </is>
      </c>
    </row>
    <row r="5">
      <c r="A5" s="4" t="inlineStr">
        <is>
          <t>CAND-4001</t>
        </is>
      </c>
      <c r="B5" s="5" t="inlineStr">
        <is>
          <t>Thabo Mokoena</t>
        </is>
      </c>
      <c r="C5" s="5" t="inlineStr">
        <is>
          <t>Call Centre Agent</t>
        </is>
      </c>
      <c r="D5" s="5" t="inlineStr">
        <is>
          <t>LinkedIn</t>
        </is>
      </c>
      <c r="E5" s="6" t="n">
        <v>46190</v>
      </c>
      <c r="F5" s="5" t="inlineStr">
        <is>
          <t>Screened</t>
        </is>
      </c>
      <c r="G5" s="4">
        <f>TODAY()-E5</f>
        <v/>
      </c>
      <c r="H5" s="4">
        <f>IF(F5="Hired","Hired",IF(F5="Offer","In Offer","In Pipeline"))</f>
        <v/>
      </c>
    </row>
    <row r="6">
      <c r="A6" s="7" t="inlineStr">
        <is>
          <t>CAND-4002</t>
        </is>
      </c>
      <c r="B6" s="8" t="inlineStr">
        <is>
          <t>Lerato Nkosi</t>
        </is>
      </c>
      <c r="C6" s="8" t="inlineStr">
        <is>
          <t>Team Leader</t>
        </is>
      </c>
      <c r="D6" s="8" t="inlineStr">
        <is>
          <t>LinkedIn</t>
        </is>
      </c>
      <c r="E6" s="9" t="n">
        <v>46133</v>
      </c>
      <c r="F6" s="8" t="inlineStr">
        <is>
          <t>Interviewed</t>
        </is>
      </c>
      <c r="G6" s="7">
        <f>TODAY()-E6</f>
        <v/>
      </c>
      <c r="H6" s="7">
        <f>IF(F6="Hired","Hired",IF(F6="Offer","In Offer","In Pipeline"))</f>
        <v/>
      </c>
    </row>
    <row r="7">
      <c r="A7" s="4" t="inlineStr">
        <is>
          <t>CAND-4003</t>
        </is>
      </c>
      <c r="B7" s="5" t="inlineStr">
        <is>
          <t>Sipho Dlamini</t>
        </is>
      </c>
      <c r="C7" s="5" t="inlineStr">
        <is>
          <t>Call Centre Agent</t>
        </is>
      </c>
      <c r="D7" s="5" t="inlineStr">
        <is>
          <t>Referral</t>
        </is>
      </c>
      <c r="E7" s="6" t="n">
        <v>46166</v>
      </c>
      <c r="F7" s="5" t="inlineStr">
        <is>
          <t>Offer</t>
        </is>
      </c>
      <c r="G7" s="4">
        <f>TODAY()-E7</f>
        <v/>
      </c>
      <c r="H7" s="4">
        <f>IF(F7="Hired","Hired",IF(F7="Offer","In Offer","In Pipeline"))</f>
        <v/>
      </c>
    </row>
    <row r="8">
      <c r="A8" s="7" t="inlineStr">
        <is>
          <t>CAND-4004</t>
        </is>
      </c>
      <c r="B8" s="8" t="inlineStr">
        <is>
          <t>Naledi Molefe</t>
        </is>
      </c>
      <c r="C8" s="8" t="inlineStr">
        <is>
          <t>Team Leader</t>
        </is>
      </c>
      <c r="D8" s="8" t="inlineStr">
        <is>
          <t>Referral</t>
        </is>
      </c>
      <c r="E8" s="9" t="n">
        <v>46122</v>
      </c>
      <c r="F8" s="8" t="inlineStr">
        <is>
          <t>Applied</t>
        </is>
      </c>
      <c r="G8" s="7">
        <f>TODAY()-E8</f>
        <v/>
      </c>
      <c r="H8" s="7">
        <f>IF(F8="Hired","Hired",IF(F8="Offer","In Offer","In Pipeline"))</f>
        <v/>
      </c>
    </row>
    <row r="9">
      <c r="A9" s="4" t="inlineStr">
        <is>
          <t>CAND-4005</t>
        </is>
      </c>
      <c r="B9" s="5" t="inlineStr">
        <is>
          <t>Kagiso Khumalo</t>
        </is>
      </c>
      <c r="C9" s="5" t="inlineStr">
        <is>
          <t>QA Analyst</t>
        </is>
      </c>
      <c r="D9" s="5" t="inlineStr">
        <is>
          <t>Referral</t>
        </is>
      </c>
      <c r="E9" s="6" t="n">
        <v>46101</v>
      </c>
      <c r="F9" s="5" t="inlineStr">
        <is>
          <t>Applied</t>
        </is>
      </c>
      <c r="G9" s="4">
        <f>TODAY()-E9</f>
        <v/>
      </c>
      <c r="H9" s="4">
        <f>IF(F9="Hired","Hired",IF(F9="Offer","In Offer","In Pipeline"))</f>
        <v/>
      </c>
    </row>
    <row r="10">
      <c r="A10" s="7" t="inlineStr">
        <is>
          <t>CAND-4006</t>
        </is>
      </c>
      <c r="B10" s="8" t="inlineStr">
        <is>
          <t>Zanele Mahlangu</t>
        </is>
      </c>
      <c r="C10" s="8" t="inlineStr">
        <is>
          <t>IT Support</t>
        </is>
      </c>
      <c r="D10" s="8" t="inlineStr">
        <is>
          <t>Referral</t>
        </is>
      </c>
      <c r="E10" s="9" t="n">
        <v>46151</v>
      </c>
      <c r="F10" s="8" t="inlineStr">
        <is>
          <t>Screened</t>
        </is>
      </c>
      <c r="G10" s="7">
        <f>TODAY()-E10</f>
        <v/>
      </c>
      <c r="H10" s="7">
        <f>IF(F10="Hired","Hired",IF(F10="Offer","In Offer","In Pipeline"))</f>
        <v/>
      </c>
    </row>
    <row r="11">
      <c r="A11" s="4" t="inlineStr">
        <is>
          <t>CAND-4007</t>
        </is>
      </c>
      <c r="B11" s="5" t="inlineStr">
        <is>
          <t>Tumelo Sithole</t>
        </is>
      </c>
      <c r="C11" s="5" t="inlineStr">
        <is>
          <t>Sales Rep</t>
        </is>
      </c>
      <c r="D11" s="5" t="inlineStr">
        <is>
          <t>Job Board</t>
        </is>
      </c>
      <c r="E11" s="6" t="n">
        <v>46119</v>
      </c>
      <c r="F11" s="5" t="inlineStr">
        <is>
          <t>Applied</t>
        </is>
      </c>
      <c r="G11" s="4">
        <f>TODAY()-E11</f>
        <v/>
      </c>
      <c r="H11" s="4">
        <f>IF(F11="Hired","Hired",IF(F11="Offer","In Offer","In Pipeline"))</f>
        <v/>
      </c>
    </row>
    <row r="12">
      <c r="A12" s="7" t="inlineStr">
        <is>
          <t>CAND-4008</t>
        </is>
      </c>
      <c r="B12" s="8" t="inlineStr">
        <is>
          <t>Ayanda Ndlovu</t>
        </is>
      </c>
      <c r="C12" s="8" t="inlineStr">
        <is>
          <t>QA Analyst</t>
        </is>
      </c>
      <c r="D12" s="8" t="inlineStr">
        <is>
          <t>LinkedIn</t>
        </is>
      </c>
      <c r="E12" s="9" t="n">
        <v>46064</v>
      </c>
      <c r="F12" s="8" t="inlineStr">
        <is>
          <t>Interviewed</t>
        </is>
      </c>
      <c r="G12" s="7">
        <f>TODAY()-E12</f>
        <v/>
      </c>
      <c r="H12" s="7">
        <f>IF(F12="Hired","Hired",IF(F12="Offer","In Offer","In Pipeline"))</f>
        <v/>
      </c>
    </row>
    <row r="13">
      <c r="A13" s="4" t="inlineStr">
        <is>
          <t>CAND-4009</t>
        </is>
      </c>
      <c r="B13" s="5" t="inlineStr">
        <is>
          <t>Bongani Mabaso</t>
        </is>
      </c>
      <c r="C13" s="5" t="inlineStr">
        <is>
          <t>QA Analyst</t>
        </is>
      </c>
      <c r="D13" s="5" t="inlineStr">
        <is>
          <t>Job Board</t>
        </is>
      </c>
      <c r="E13" s="6" t="n">
        <v>46118</v>
      </c>
      <c r="F13" s="5" t="inlineStr">
        <is>
          <t>Applied</t>
        </is>
      </c>
      <c r="G13" s="4">
        <f>TODAY()-E13</f>
        <v/>
      </c>
      <c r="H13" s="4">
        <f>IF(F13="Hired","Hired",IF(F13="Offer","In Offer","In Pipeline"))</f>
        <v/>
      </c>
    </row>
    <row r="14">
      <c r="A14" s="7" t="inlineStr">
        <is>
          <t>CAND-4010</t>
        </is>
      </c>
      <c r="B14" s="8" t="inlineStr">
        <is>
          <t>Nomvula Zulu</t>
        </is>
      </c>
      <c r="C14" s="8" t="inlineStr">
        <is>
          <t>QA Analyst</t>
        </is>
      </c>
      <c r="D14" s="8" t="inlineStr">
        <is>
          <t>LinkedIn</t>
        </is>
      </c>
      <c r="E14" s="9" t="n">
        <v>46079</v>
      </c>
      <c r="F14" s="8" t="inlineStr">
        <is>
          <t>Hired</t>
        </is>
      </c>
      <c r="G14" s="7">
        <f>TODAY()-E14</f>
        <v/>
      </c>
      <c r="H14" s="7">
        <f>IF(F14="Hired","Hired",IF(F14="Offer","In Offer","In Pipeline"))</f>
        <v/>
      </c>
    </row>
    <row r="15">
      <c r="A15" s="4" t="inlineStr">
        <is>
          <t>CAND-4011</t>
        </is>
      </c>
      <c r="B15" s="5" t="inlineStr">
        <is>
          <t>Kabelo Mokoena</t>
        </is>
      </c>
      <c r="C15" s="5" t="inlineStr">
        <is>
          <t>QA Analyst</t>
        </is>
      </c>
      <c r="D15" s="5" t="inlineStr">
        <is>
          <t>Walk-in</t>
        </is>
      </c>
      <c r="E15" s="6" t="n">
        <v>46043</v>
      </c>
      <c r="F15" s="5" t="inlineStr">
        <is>
          <t>Interviewed</t>
        </is>
      </c>
      <c r="G15" s="4">
        <f>TODAY()-E15</f>
        <v/>
      </c>
      <c r="H15" s="4">
        <f>IF(F15="Hired","Hired",IF(F15="Offer","In Offer","In Pipeline"))</f>
        <v/>
      </c>
    </row>
    <row r="16">
      <c r="A16" s="7" t="inlineStr">
        <is>
          <t>CAND-4012</t>
        </is>
      </c>
      <c r="B16" s="8" t="inlineStr">
        <is>
          <t>Refilwe Nkosi</t>
        </is>
      </c>
      <c r="C16" s="8" t="inlineStr">
        <is>
          <t>Call Centre Agent</t>
        </is>
      </c>
      <c r="D16" s="8" t="inlineStr">
        <is>
          <t>Job Board</t>
        </is>
      </c>
      <c r="E16" s="9" t="n">
        <v>46165</v>
      </c>
      <c r="F16" s="8" t="inlineStr">
        <is>
          <t>Interviewed</t>
        </is>
      </c>
      <c r="G16" s="7">
        <f>TODAY()-E16</f>
        <v/>
      </c>
      <c r="H16" s="7">
        <f>IF(F16="Hired","Hired",IF(F16="Offer","In Offer","In Pipeline"))</f>
        <v/>
      </c>
    </row>
    <row r="17">
      <c r="A17" s="4" t="inlineStr">
        <is>
          <t>CAND-4013</t>
        </is>
      </c>
      <c r="B17" s="5" t="inlineStr">
        <is>
          <t>Mpho Dlamini</t>
        </is>
      </c>
      <c r="C17" s="5" t="inlineStr">
        <is>
          <t>IT Support</t>
        </is>
      </c>
      <c r="D17" s="5" t="inlineStr">
        <is>
          <t>Job Board</t>
        </is>
      </c>
      <c r="E17" s="6" t="n">
        <v>46201</v>
      </c>
      <c r="F17" s="5" t="inlineStr">
        <is>
          <t>Hired</t>
        </is>
      </c>
      <c r="G17" s="4">
        <f>TODAY()-E17</f>
        <v/>
      </c>
      <c r="H17" s="4">
        <f>IF(F17="Hired","Hired",IF(F17="Offer","In Offer","In Pipeline"))</f>
        <v/>
      </c>
    </row>
    <row r="18">
      <c r="A18" s="7" t="inlineStr">
        <is>
          <t>CAND-4014</t>
        </is>
      </c>
      <c r="B18" s="8" t="inlineStr">
        <is>
          <t>Lindiwe Molefe</t>
        </is>
      </c>
      <c r="C18" s="8" t="inlineStr">
        <is>
          <t>Team Leader</t>
        </is>
      </c>
      <c r="D18" s="8" t="inlineStr">
        <is>
          <t>Job Board</t>
        </is>
      </c>
      <c r="E18" s="9" t="n">
        <v>46100</v>
      </c>
      <c r="F18" s="8" t="inlineStr">
        <is>
          <t>Applied</t>
        </is>
      </c>
      <c r="G18" s="7">
        <f>TODAY()-E18</f>
        <v/>
      </c>
      <c r="H18" s="7">
        <f>IF(F18="Hired","Hired",IF(F18="Offer","In Offer","In Pipeline"))</f>
        <v/>
      </c>
    </row>
    <row r="19">
      <c r="A19" s="4" t="inlineStr">
        <is>
          <t>CAND-4015</t>
        </is>
      </c>
      <c r="B19" s="5" t="inlineStr">
        <is>
          <t>Sibusiso Khumalo</t>
        </is>
      </c>
      <c r="C19" s="5" t="inlineStr">
        <is>
          <t>Team Leader</t>
        </is>
      </c>
      <c r="D19" s="5" t="inlineStr">
        <is>
          <t>Referral</t>
        </is>
      </c>
      <c r="E19" s="6" t="n">
        <v>46037</v>
      </c>
      <c r="F19" s="5" t="inlineStr">
        <is>
          <t>Screened</t>
        </is>
      </c>
      <c r="G19" s="4">
        <f>TODAY()-E19</f>
        <v/>
      </c>
      <c r="H19" s="4">
        <f>IF(F19="Hired","Hired",IF(F19="Offer","In Offer","In Pipeline"))</f>
        <v/>
      </c>
    </row>
    <row r="20">
      <c r="A20" s="7" t="inlineStr">
        <is>
          <t>CAND-4016</t>
        </is>
      </c>
      <c r="B20" s="8" t="inlineStr">
        <is>
          <t>Palesa Mahlangu</t>
        </is>
      </c>
      <c r="C20" s="8" t="inlineStr">
        <is>
          <t>Sales Rep</t>
        </is>
      </c>
      <c r="D20" s="8" t="inlineStr">
        <is>
          <t>Job Board</t>
        </is>
      </c>
      <c r="E20" s="9" t="n">
        <v>46032</v>
      </c>
      <c r="F20" s="8" t="inlineStr">
        <is>
          <t>Interviewed</t>
        </is>
      </c>
      <c r="G20" s="7">
        <f>TODAY()-E20</f>
        <v/>
      </c>
      <c r="H20" s="7">
        <f>IF(F20="Hired","Hired",IF(F20="Offer","In Offer","In Pipeline"))</f>
        <v/>
      </c>
    </row>
    <row r="21">
      <c r="A21" s="4" t="inlineStr">
        <is>
          <t>CAND-4017</t>
        </is>
      </c>
      <c r="B21" s="5" t="inlineStr">
        <is>
          <t>Katlego Sithole</t>
        </is>
      </c>
      <c r="C21" s="5" t="inlineStr">
        <is>
          <t>QA Analyst</t>
        </is>
      </c>
      <c r="D21" s="5" t="inlineStr">
        <is>
          <t>LinkedIn</t>
        </is>
      </c>
      <c r="E21" s="6" t="n">
        <v>46222</v>
      </c>
      <c r="F21" s="5" t="inlineStr">
        <is>
          <t>Screened</t>
        </is>
      </c>
      <c r="G21" s="4">
        <f>TODAY()-E21</f>
        <v/>
      </c>
      <c r="H21" s="4">
        <f>IF(F21="Hired","Hired",IF(F21="Offer","In Offer","In Pipeline"))</f>
        <v/>
      </c>
    </row>
    <row r="22">
      <c r="A22" s="7" t="inlineStr">
        <is>
          <t>CAND-4018</t>
        </is>
      </c>
      <c r="B22" s="8" t="inlineStr">
        <is>
          <t>Nonhlanhla Ndlovu</t>
        </is>
      </c>
      <c r="C22" s="8" t="inlineStr">
        <is>
          <t>QA Analyst</t>
        </is>
      </c>
      <c r="D22" s="8" t="inlineStr">
        <is>
          <t>Agency</t>
        </is>
      </c>
      <c r="E22" s="9" t="n">
        <v>46058</v>
      </c>
      <c r="F22" s="8" t="inlineStr">
        <is>
          <t>Interviewed</t>
        </is>
      </c>
      <c r="G22" s="7">
        <f>TODAY()-E22</f>
        <v/>
      </c>
      <c r="H22" s="7">
        <f>IF(F22="Hired","Hired",IF(F22="Offer","In Offer","In Pipeline"))</f>
        <v/>
      </c>
    </row>
    <row r="23">
      <c r="A23" s="4" t="inlineStr">
        <is>
          <t>CAND-4019</t>
        </is>
      </c>
      <c r="B23" s="5" t="inlineStr">
        <is>
          <t>Themba Mabaso</t>
        </is>
      </c>
      <c r="C23" s="5" t="inlineStr">
        <is>
          <t>QA Analyst</t>
        </is>
      </c>
      <c r="D23" s="5" t="inlineStr">
        <is>
          <t>LinkedIn</t>
        </is>
      </c>
      <c r="E23" s="6" t="n">
        <v>46129</v>
      </c>
      <c r="F23" s="5" t="inlineStr">
        <is>
          <t>Interviewed</t>
        </is>
      </c>
      <c r="G23" s="4">
        <f>TODAY()-E23</f>
        <v/>
      </c>
      <c r="H23" s="4">
        <f>IF(F23="Hired","Hired",IF(F23="Offer","In Offer","In Pipeline"))</f>
        <v/>
      </c>
    </row>
    <row r="24">
      <c r="A24" s="7" t="inlineStr">
        <is>
          <t>CAND-4020</t>
        </is>
      </c>
      <c r="B24" s="8" t="inlineStr">
        <is>
          <t>Dineo Zulu</t>
        </is>
      </c>
      <c r="C24" s="8" t="inlineStr">
        <is>
          <t>Call Centre Agent</t>
        </is>
      </c>
      <c r="D24" s="8" t="inlineStr">
        <is>
          <t>LinkedIn</t>
        </is>
      </c>
      <c r="E24" s="9" t="n">
        <v>46073</v>
      </c>
      <c r="F24" s="8" t="inlineStr">
        <is>
          <t>Applied</t>
        </is>
      </c>
      <c r="G24" s="7">
        <f>TODAY()-E24</f>
        <v/>
      </c>
      <c r="H24" s="7">
        <f>IF(F24="Hired","Hired",IF(F24="Offer","In Offer","In Pipeline"))</f>
        <v/>
      </c>
    </row>
    <row r="25">
      <c r="A25" s="4" t="inlineStr">
        <is>
          <t>CAND-4021</t>
        </is>
      </c>
      <c r="B25" s="5" t="inlineStr">
        <is>
          <t>Thabo Mokoena</t>
        </is>
      </c>
      <c r="C25" s="5" t="inlineStr">
        <is>
          <t>QA Analyst</t>
        </is>
      </c>
      <c r="D25" s="5" t="inlineStr">
        <is>
          <t>LinkedIn</t>
        </is>
      </c>
      <c r="E25" s="6" t="n">
        <v>46154</v>
      </c>
      <c r="F25" s="5" t="inlineStr">
        <is>
          <t>Applied</t>
        </is>
      </c>
      <c r="G25" s="4">
        <f>TODAY()-E25</f>
        <v/>
      </c>
      <c r="H25" s="4">
        <f>IF(F25="Hired","Hired",IF(F25="Offer","In Offer","In Pipeline"))</f>
        <v/>
      </c>
    </row>
    <row r="26">
      <c r="A26" s="7" t="inlineStr">
        <is>
          <t>CAND-4022</t>
        </is>
      </c>
      <c r="B26" s="8" t="inlineStr">
        <is>
          <t>Lerato Nkosi</t>
        </is>
      </c>
      <c r="C26" s="8" t="inlineStr">
        <is>
          <t>IT Support</t>
        </is>
      </c>
      <c r="D26" s="8" t="inlineStr">
        <is>
          <t>Agency</t>
        </is>
      </c>
      <c r="E26" s="9" t="n">
        <v>46150</v>
      </c>
      <c r="F26" s="8" t="inlineStr">
        <is>
          <t>Screened</t>
        </is>
      </c>
      <c r="G26" s="7">
        <f>TODAY()-E26</f>
        <v/>
      </c>
      <c r="H26" s="7">
        <f>IF(F26="Hired","Hired",IF(F26="Offer","In Offer","In Pipeline"))</f>
        <v/>
      </c>
    </row>
    <row r="27">
      <c r="A27" s="4" t="inlineStr">
        <is>
          <t>CAND-4023</t>
        </is>
      </c>
      <c r="B27" s="5" t="inlineStr">
        <is>
          <t>Sipho Dlamini</t>
        </is>
      </c>
      <c r="C27" s="5" t="inlineStr">
        <is>
          <t>QA Analyst</t>
        </is>
      </c>
      <c r="D27" s="5" t="inlineStr">
        <is>
          <t>Agency</t>
        </is>
      </c>
      <c r="E27" s="6" t="n">
        <v>46060</v>
      </c>
      <c r="F27" s="5" t="inlineStr">
        <is>
          <t>Screened</t>
        </is>
      </c>
      <c r="G27" s="4">
        <f>TODAY()-E27</f>
        <v/>
      </c>
      <c r="H27" s="4">
        <f>IF(F27="Hired","Hired",IF(F27="Offer","In Offer","In Pipeline"))</f>
        <v/>
      </c>
    </row>
    <row r="28">
      <c r="A28" s="7" t="inlineStr">
        <is>
          <t>CAND-4024</t>
        </is>
      </c>
      <c r="B28" s="8" t="inlineStr">
        <is>
          <t>Naledi Molefe</t>
        </is>
      </c>
      <c r="C28" s="8" t="inlineStr">
        <is>
          <t>Call Centre Agent</t>
        </is>
      </c>
      <c r="D28" s="8" t="inlineStr">
        <is>
          <t>Referral</t>
        </is>
      </c>
      <c r="E28" s="9" t="n">
        <v>46058</v>
      </c>
      <c r="F28" s="8" t="inlineStr">
        <is>
          <t>Offer</t>
        </is>
      </c>
      <c r="G28" s="7">
        <f>TODAY()-E28</f>
        <v/>
      </c>
      <c r="H28" s="7">
        <f>IF(F28="Hired","Hired",IF(F28="Offer","In Offer","In Pipeline"))</f>
        <v/>
      </c>
    </row>
    <row r="29">
      <c r="A29" s="4" t="inlineStr">
        <is>
          <t>CAND-4025</t>
        </is>
      </c>
      <c r="B29" s="5" t="inlineStr">
        <is>
          <t>Kagiso Khumalo</t>
        </is>
      </c>
      <c r="C29" s="5" t="inlineStr">
        <is>
          <t>Call Centre Agent</t>
        </is>
      </c>
      <c r="D29" s="5" t="inlineStr">
        <is>
          <t>Referral</t>
        </is>
      </c>
      <c r="E29" s="6" t="n">
        <v>46116</v>
      </c>
      <c r="F29" s="5" t="inlineStr">
        <is>
          <t>Interviewed</t>
        </is>
      </c>
      <c r="G29" s="4">
        <f>TODAY()-E29</f>
        <v/>
      </c>
      <c r="H29" s="4">
        <f>IF(F29="Hired","Hired",IF(F29="Offer","In Offer","In Pipeline"))</f>
        <v/>
      </c>
    </row>
    <row r="30">
      <c r="A30" s="7" t="inlineStr">
        <is>
          <t>CAND-4026</t>
        </is>
      </c>
      <c r="B30" s="8" t="inlineStr">
        <is>
          <t>Zanele Mahlangu</t>
        </is>
      </c>
      <c r="C30" s="8" t="inlineStr">
        <is>
          <t>IT Support</t>
        </is>
      </c>
      <c r="D30" s="8" t="inlineStr">
        <is>
          <t>Job Board</t>
        </is>
      </c>
      <c r="E30" s="9" t="n">
        <v>46212</v>
      </c>
      <c r="F30" s="8" t="inlineStr">
        <is>
          <t>Offer</t>
        </is>
      </c>
      <c r="G30" s="7">
        <f>TODAY()-E30</f>
        <v/>
      </c>
      <c r="H30" s="7">
        <f>IF(F30="Hired","Hired",IF(F30="Offer","In Offer","In Pipeline"))</f>
        <v/>
      </c>
    </row>
    <row r="31">
      <c r="A31" s="4" t="inlineStr">
        <is>
          <t>CAND-4027</t>
        </is>
      </c>
      <c r="B31" s="5" t="inlineStr">
        <is>
          <t>Tumelo Sithole</t>
        </is>
      </c>
      <c r="C31" s="5" t="inlineStr">
        <is>
          <t>Sales Rep</t>
        </is>
      </c>
      <c r="D31" s="5" t="inlineStr">
        <is>
          <t>Job Board</t>
        </is>
      </c>
      <c r="E31" s="6" t="n">
        <v>46043</v>
      </c>
      <c r="F31" s="5" t="inlineStr">
        <is>
          <t>Hired</t>
        </is>
      </c>
      <c r="G31" s="4">
        <f>TODAY()-E31</f>
        <v/>
      </c>
      <c r="H31" s="4">
        <f>IF(F31="Hired","Hired",IF(F31="Offer","In Offer","In Pipeline"))</f>
        <v/>
      </c>
    </row>
    <row r="32">
      <c r="A32" s="7" t="inlineStr">
        <is>
          <t>CAND-4028</t>
        </is>
      </c>
      <c r="B32" s="8" t="inlineStr">
        <is>
          <t>Ayanda Ndlovu</t>
        </is>
      </c>
      <c r="C32" s="8" t="inlineStr">
        <is>
          <t>Sales Rep</t>
        </is>
      </c>
      <c r="D32" s="8" t="inlineStr">
        <is>
          <t>Agency</t>
        </is>
      </c>
      <c r="E32" s="9" t="n">
        <v>46157</v>
      </c>
      <c r="F32" s="8" t="inlineStr">
        <is>
          <t>Interviewed</t>
        </is>
      </c>
      <c r="G32" s="7">
        <f>TODAY()-E32</f>
        <v/>
      </c>
      <c r="H32" s="7">
        <f>IF(F32="Hired","Hired",IF(F32="Offer","In Offer","In Pipeline"))</f>
        <v/>
      </c>
    </row>
    <row r="33">
      <c r="A33" s="4" t="inlineStr">
        <is>
          <t>CAND-4029</t>
        </is>
      </c>
      <c r="B33" s="5" t="inlineStr">
        <is>
          <t>Bongani Mabaso</t>
        </is>
      </c>
      <c r="C33" s="5" t="inlineStr">
        <is>
          <t>Call Centre Agent</t>
        </is>
      </c>
      <c r="D33" s="5" t="inlineStr">
        <is>
          <t>LinkedIn</t>
        </is>
      </c>
      <c r="E33" s="6" t="n">
        <v>46059</v>
      </c>
      <c r="F33" s="5" t="inlineStr">
        <is>
          <t>Interviewed</t>
        </is>
      </c>
      <c r="G33" s="4">
        <f>TODAY()-E33</f>
        <v/>
      </c>
      <c r="H33" s="4">
        <f>IF(F33="Hired","Hired",IF(F33="Offer","In Offer","In Pipeline"))</f>
        <v/>
      </c>
    </row>
    <row r="34">
      <c r="A34" s="7" t="inlineStr">
        <is>
          <t>CAND-4030</t>
        </is>
      </c>
      <c r="B34" s="8" t="inlineStr">
        <is>
          <t>Nomvula Zulu</t>
        </is>
      </c>
      <c r="C34" s="8" t="inlineStr">
        <is>
          <t>Team Leader</t>
        </is>
      </c>
      <c r="D34" s="8" t="inlineStr">
        <is>
          <t>Referral</t>
        </is>
      </c>
      <c r="E34" s="9" t="n">
        <v>46035</v>
      </c>
      <c r="F34" s="8" t="inlineStr">
        <is>
          <t>Applied</t>
        </is>
      </c>
      <c r="G34" s="7">
        <f>TODAY()-E34</f>
        <v/>
      </c>
      <c r="H34" s="7">
        <f>IF(F34="Hired","Hired",IF(F34="Offer","In Offer","In Pipeline"))</f>
        <v/>
      </c>
    </row>
    <row r="35">
      <c r="A35" s="4" t="inlineStr">
        <is>
          <t>CAND-4031</t>
        </is>
      </c>
      <c r="B35" s="5" t="inlineStr">
        <is>
          <t>Kabelo Mokoena</t>
        </is>
      </c>
      <c r="C35" s="5" t="inlineStr">
        <is>
          <t>Call Centre Agent</t>
        </is>
      </c>
      <c r="D35" s="5" t="inlineStr">
        <is>
          <t>Agency</t>
        </is>
      </c>
      <c r="E35" s="6" t="n">
        <v>46207</v>
      </c>
      <c r="F35" s="5" t="inlineStr">
        <is>
          <t>Applied</t>
        </is>
      </c>
      <c r="G35" s="4">
        <f>TODAY()-E35</f>
        <v/>
      </c>
      <c r="H35" s="4">
        <f>IF(F35="Hired","Hired",IF(F35="Offer","In Offer","In Pipeline"))</f>
        <v/>
      </c>
    </row>
    <row r="36">
      <c r="A36" s="7" t="inlineStr">
        <is>
          <t>CAND-4032</t>
        </is>
      </c>
      <c r="B36" s="8" t="inlineStr">
        <is>
          <t>Refilwe Nkosi</t>
        </is>
      </c>
      <c r="C36" s="8" t="inlineStr">
        <is>
          <t>IT Support</t>
        </is>
      </c>
      <c r="D36" s="8" t="inlineStr">
        <is>
          <t>Referral</t>
        </is>
      </c>
      <c r="E36" s="9" t="n">
        <v>46058</v>
      </c>
      <c r="F36" s="8" t="inlineStr">
        <is>
          <t>Interviewed</t>
        </is>
      </c>
      <c r="G36" s="7">
        <f>TODAY()-E36</f>
        <v/>
      </c>
      <c r="H36" s="7">
        <f>IF(F36="Hired","Hired",IF(F36="Offer","In Offer","In Pipeline"))</f>
        <v/>
      </c>
    </row>
    <row r="37">
      <c r="A37" s="4" t="inlineStr">
        <is>
          <t>CAND-4033</t>
        </is>
      </c>
      <c r="B37" s="5" t="inlineStr">
        <is>
          <t>Mpho Dlamini</t>
        </is>
      </c>
      <c r="C37" s="5" t="inlineStr">
        <is>
          <t>IT Support</t>
        </is>
      </c>
      <c r="D37" s="5" t="inlineStr">
        <is>
          <t>Agency</t>
        </is>
      </c>
      <c r="E37" s="6" t="n">
        <v>46190</v>
      </c>
      <c r="F37" s="5" t="inlineStr">
        <is>
          <t>Screened</t>
        </is>
      </c>
      <c r="G37" s="4">
        <f>TODAY()-E37</f>
        <v/>
      </c>
      <c r="H37" s="4">
        <f>IF(F37="Hired","Hired",IF(F37="Offer","In Offer","In Pipeline"))</f>
        <v/>
      </c>
    </row>
    <row r="38">
      <c r="A38" s="7" t="inlineStr">
        <is>
          <t>CAND-4034</t>
        </is>
      </c>
      <c r="B38" s="8" t="inlineStr">
        <is>
          <t>Lindiwe Molefe</t>
        </is>
      </c>
      <c r="C38" s="8" t="inlineStr">
        <is>
          <t>QA Analyst</t>
        </is>
      </c>
      <c r="D38" s="8" t="inlineStr">
        <is>
          <t>LinkedIn</t>
        </is>
      </c>
      <c r="E38" s="9" t="n">
        <v>46084</v>
      </c>
      <c r="F38" s="8" t="inlineStr">
        <is>
          <t>Applied</t>
        </is>
      </c>
      <c r="G38" s="7">
        <f>TODAY()-E38</f>
        <v/>
      </c>
      <c r="H38" s="7">
        <f>IF(F38="Hired","Hired",IF(F38="Offer","In Offer","In Pipeline"))</f>
        <v/>
      </c>
    </row>
    <row r="39">
      <c r="A39" s="4" t="inlineStr">
        <is>
          <t>CAND-4035</t>
        </is>
      </c>
      <c r="B39" s="5" t="inlineStr">
        <is>
          <t>Sibusiso Khumalo</t>
        </is>
      </c>
      <c r="C39" s="5" t="inlineStr">
        <is>
          <t>IT Support</t>
        </is>
      </c>
      <c r="D39" s="5" t="inlineStr">
        <is>
          <t>Agency</t>
        </is>
      </c>
      <c r="E39" s="6" t="n">
        <v>46199</v>
      </c>
      <c r="F39" s="5" t="inlineStr">
        <is>
          <t>Hired</t>
        </is>
      </c>
      <c r="G39" s="4">
        <f>TODAY()-E39</f>
        <v/>
      </c>
      <c r="H39" s="4">
        <f>IF(F39="Hired","Hired",IF(F39="Offer","In Offer","In Pipeline"))</f>
        <v/>
      </c>
    </row>
    <row r="40">
      <c r="A40" s="7" t="inlineStr">
        <is>
          <t>CAND-4036</t>
        </is>
      </c>
      <c r="B40" s="8" t="inlineStr">
        <is>
          <t>Palesa Mahlangu</t>
        </is>
      </c>
      <c r="C40" s="8" t="inlineStr">
        <is>
          <t>IT Support</t>
        </is>
      </c>
      <c r="D40" s="8" t="inlineStr">
        <is>
          <t>LinkedIn</t>
        </is>
      </c>
      <c r="E40" s="9" t="n">
        <v>46217</v>
      </c>
      <c r="F40" s="8" t="inlineStr">
        <is>
          <t>Applied</t>
        </is>
      </c>
      <c r="G40" s="7">
        <f>TODAY()-E40</f>
        <v/>
      </c>
      <c r="H40" s="7">
        <f>IF(F40="Hired","Hired",IF(F40="Offer","In Offer","In Pipeline"))</f>
        <v/>
      </c>
    </row>
    <row r="41">
      <c r="A41" s="4" t="inlineStr">
        <is>
          <t>CAND-4037</t>
        </is>
      </c>
      <c r="B41" s="5" t="inlineStr">
        <is>
          <t>Katlego Sithole</t>
        </is>
      </c>
      <c r="C41" s="5" t="inlineStr">
        <is>
          <t>Team Leader</t>
        </is>
      </c>
      <c r="D41" s="5" t="inlineStr">
        <is>
          <t>LinkedIn</t>
        </is>
      </c>
      <c r="E41" s="6" t="n">
        <v>46118</v>
      </c>
      <c r="F41" s="5" t="inlineStr">
        <is>
          <t>Interviewed</t>
        </is>
      </c>
      <c r="G41" s="4">
        <f>TODAY()-E41</f>
        <v/>
      </c>
      <c r="H41" s="4">
        <f>IF(F41="Hired","Hired",IF(F41="Offer","In Offer","In Pipeline"))</f>
        <v/>
      </c>
    </row>
    <row r="42">
      <c r="A42" s="7" t="inlineStr">
        <is>
          <t>CAND-4038</t>
        </is>
      </c>
      <c r="B42" s="8" t="inlineStr">
        <is>
          <t>Nonhlanhla Ndlovu</t>
        </is>
      </c>
      <c r="C42" s="8" t="inlineStr">
        <is>
          <t>Call Centre Agent</t>
        </is>
      </c>
      <c r="D42" s="8" t="inlineStr">
        <is>
          <t>Job Board</t>
        </is>
      </c>
      <c r="E42" s="9" t="n">
        <v>46175</v>
      </c>
      <c r="F42" s="8" t="inlineStr">
        <is>
          <t>Applied</t>
        </is>
      </c>
      <c r="G42" s="7">
        <f>TODAY()-E42</f>
        <v/>
      </c>
      <c r="H42" s="7">
        <f>IF(F42="Hired","Hired",IF(F42="Offer","In Offer","In Pipeline"))</f>
        <v/>
      </c>
    </row>
    <row r="43">
      <c r="A43" s="4" t="inlineStr">
        <is>
          <t>CAND-4039</t>
        </is>
      </c>
      <c r="B43" s="5" t="inlineStr">
        <is>
          <t>Themba Mabaso</t>
        </is>
      </c>
      <c r="C43" s="5" t="inlineStr">
        <is>
          <t>QA Analyst</t>
        </is>
      </c>
      <c r="D43" s="5" t="inlineStr">
        <is>
          <t>LinkedIn</t>
        </is>
      </c>
      <c r="E43" s="6" t="n">
        <v>46201</v>
      </c>
      <c r="F43" s="5" t="inlineStr">
        <is>
          <t>Hired</t>
        </is>
      </c>
      <c r="G43" s="4">
        <f>TODAY()-E43</f>
        <v/>
      </c>
      <c r="H43" s="4">
        <f>IF(F43="Hired","Hired",IF(F43="Offer","In Offer","In Pipeline"))</f>
        <v/>
      </c>
    </row>
    <row r="44">
      <c r="A44" s="7" t="inlineStr">
        <is>
          <t>CAND-4040</t>
        </is>
      </c>
      <c r="B44" s="8" t="inlineStr">
        <is>
          <t>Dineo Zulu</t>
        </is>
      </c>
      <c r="C44" s="8" t="inlineStr">
        <is>
          <t>IT Support</t>
        </is>
      </c>
      <c r="D44" s="8" t="inlineStr">
        <is>
          <t>Agency</t>
        </is>
      </c>
      <c r="E44" s="9" t="n">
        <v>46164</v>
      </c>
      <c r="F44" s="8" t="inlineStr">
        <is>
          <t>Applied</t>
        </is>
      </c>
      <c r="G44" s="7">
        <f>TODAY()-E44</f>
        <v/>
      </c>
      <c r="H44" s="7">
        <f>IF(F44="Hired","Hired",IF(F44="Offer","In Offer","In Pipeline"))</f>
        <v/>
      </c>
    </row>
    <row r="45">
      <c r="A45" s="4" t="inlineStr">
        <is>
          <t>CAND-4041</t>
        </is>
      </c>
      <c r="B45" s="5" t="inlineStr">
        <is>
          <t>Thabo Mokoena</t>
        </is>
      </c>
      <c r="C45" s="5" t="inlineStr">
        <is>
          <t>Team Leader</t>
        </is>
      </c>
      <c r="D45" s="5" t="inlineStr">
        <is>
          <t>LinkedIn</t>
        </is>
      </c>
      <c r="E45" s="6" t="n">
        <v>46102</v>
      </c>
      <c r="F45" s="5" t="inlineStr">
        <is>
          <t>Hired</t>
        </is>
      </c>
      <c r="G45" s="4">
        <f>TODAY()-E45</f>
        <v/>
      </c>
      <c r="H45" s="4">
        <f>IF(F45="Hired","Hired",IF(F45="Offer","In Offer","In Pipeline"))</f>
        <v/>
      </c>
    </row>
    <row r="46">
      <c r="A46" s="7" t="inlineStr">
        <is>
          <t>CAND-4042</t>
        </is>
      </c>
      <c r="B46" s="8" t="inlineStr">
        <is>
          <t>Lerato Nkosi</t>
        </is>
      </c>
      <c r="C46" s="8" t="inlineStr">
        <is>
          <t>QA Analyst</t>
        </is>
      </c>
      <c r="D46" s="8" t="inlineStr">
        <is>
          <t>Referral</t>
        </is>
      </c>
      <c r="E46" s="9" t="n">
        <v>46028</v>
      </c>
      <c r="F46" s="8" t="inlineStr">
        <is>
          <t>Offer</t>
        </is>
      </c>
      <c r="G46" s="7">
        <f>TODAY()-E46</f>
        <v/>
      </c>
      <c r="H46" s="7">
        <f>IF(F46="Hired","Hired",IF(F46="Offer","In Offer","In Pipeline"))</f>
        <v/>
      </c>
    </row>
    <row r="47">
      <c r="A47" s="4" t="inlineStr">
        <is>
          <t>CAND-4043</t>
        </is>
      </c>
      <c r="B47" s="5" t="inlineStr">
        <is>
          <t>Sipho Dlamini</t>
        </is>
      </c>
      <c r="C47" s="5" t="inlineStr">
        <is>
          <t>QA Analyst</t>
        </is>
      </c>
      <c r="D47" s="5" t="inlineStr">
        <is>
          <t>Referral</t>
        </is>
      </c>
      <c r="E47" s="6" t="n">
        <v>46059</v>
      </c>
      <c r="F47" s="5" t="inlineStr">
        <is>
          <t>Offer</t>
        </is>
      </c>
      <c r="G47" s="4">
        <f>TODAY()-E47</f>
        <v/>
      </c>
      <c r="H47" s="4">
        <f>IF(F47="Hired","Hired",IF(F47="Offer","In Offer","In Pipeline"))</f>
        <v/>
      </c>
    </row>
    <row r="48">
      <c r="A48" s="7" t="inlineStr">
        <is>
          <t>CAND-4044</t>
        </is>
      </c>
      <c r="B48" s="8" t="inlineStr">
        <is>
          <t>Naledi Molefe</t>
        </is>
      </c>
      <c r="C48" s="8" t="inlineStr">
        <is>
          <t>Team Leader</t>
        </is>
      </c>
      <c r="D48" s="8" t="inlineStr">
        <is>
          <t>Walk-in</t>
        </is>
      </c>
      <c r="E48" s="9" t="n">
        <v>46101</v>
      </c>
      <c r="F48" s="8" t="inlineStr">
        <is>
          <t>Offer</t>
        </is>
      </c>
      <c r="G48" s="7">
        <f>TODAY()-E48</f>
        <v/>
      </c>
      <c r="H48" s="7">
        <f>IF(F48="Hired","Hired",IF(F48="Offer","In Offer","In Pipeline"))</f>
        <v/>
      </c>
    </row>
    <row r="49">
      <c r="A49" s="4" t="inlineStr">
        <is>
          <t>CAND-4045</t>
        </is>
      </c>
      <c r="B49" s="5" t="inlineStr">
        <is>
          <t>Kagiso Khumalo</t>
        </is>
      </c>
      <c r="C49" s="5" t="inlineStr">
        <is>
          <t>Sales Rep</t>
        </is>
      </c>
      <c r="D49" s="5" t="inlineStr">
        <is>
          <t>Walk-in</t>
        </is>
      </c>
      <c r="E49" s="6" t="n">
        <v>46196</v>
      </c>
      <c r="F49" s="5" t="inlineStr">
        <is>
          <t>Hired</t>
        </is>
      </c>
      <c r="G49" s="4">
        <f>TODAY()-E49</f>
        <v/>
      </c>
      <c r="H49" s="4">
        <f>IF(F49="Hired","Hired",IF(F49="Offer","In Offer","In Pipeline"))</f>
        <v/>
      </c>
    </row>
    <row r="50">
      <c r="A50" s="7" t="inlineStr">
        <is>
          <t>CAND-4046</t>
        </is>
      </c>
      <c r="B50" s="8" t="inlineStr">
        <is>
          <t>Zanele Mahlangu</t>
        </is>
      </c>
      <c r="C50" s="8" t="inlineStr">
        <is>
          <t>Call Centre Agent</t>
        </is>
      </c>
      <c r="D50" s="8" t="inlineStr">
        <is>
          <t>LinkedIn</t>
        </is>
      </c>
      <c r="E50" s="9" t="n">
        <v>46165</v>
      </c>
      <c r="F50" s="8" t="inlineStr">
        <is>
          <t>Screened</t>
        </is>
      </c>
      <c r="G50" s="7">
        <f>TODAY()-E50</f>
        <v/>
      </c>
      <c r="H50" s="7">
        <f>IF(F50="Hired","Hired",IF(F50="Offer","In Offer","In Pipeline"))</f>
        <v/>
      </c>
    </row>
    <row r="51">
      <c r="A51" s="4" t="inlineStr">
        <is>
          <t>CAND-4047</t>
        </is>
      </c>
      <c r="B51" s="5" t="inlineStr">
        <is>
          <t>Tumelo Sithole</t>
        </is>
      </c>
      <c r="C51" s="5" t="inlineStr">
        <is>
          <t>Sales Rep</t>
        </is>
      </c>
      <c r="D51" s="5" t="inlineStr">
        <is>
          <t>Job Board</t>
        </is>
      </c>
      <c r="E51" s="6" t="n">
        <v>46181</v>
      </c>
      <c r="F51" s="5" t="inlineStr">
        <is>
          <t>Screened</t>
        </is>
      </c>
      <c r="G51" s="4">
        <f>TODAY()-E51</f>
        <v/>
      </c>
      <c r="H51" s="4">
        <f>IF(F51="Hired","Hired",IF(F51="Offer","In Offer","In Pipeline"))</f>
        <v/>
      </c>
    </row>
    <row r="52">
      <c r="A52" s="7" t="inlineStr">
        <is>
          <t>CAND-4048</t>
        </is>
      </c>
      <c r="B52" s="8" t="inlineStr">
        <is>
          <t>Ayanda Ndlovu</t>
        </is>
      </c>
      <c r="C52" s="8" t="inlineStr">
        <is>
          <t>Sales Rep</t>
        </is>
      </c>
      <c r="D52" s="8" t="inlineStr">
        <is>
          <t>LinkedIn</t>
        </is>
      </c>
      <c r="E52" s="9" t="n">
        <v>46132</v>
      </c>
      <c r="F52" s="8" t="inlineStr">
        <is>
          <t>Offer</t>
        </is>
      </c>
      <c r="G52" s="7">
        <f>TODAY()-E52</f>
        <v/>
      </c>
      <c r="H52" s="7">
        <f>IF(F52="Hired","Hired",IF(F52="Offer","In Offer","In Pipeline"))</f>
        <v/>
      </c>
    </row>
    <row r="53">
      <c r="A53" s="4" t="inlineStr">
        <is>
          <t>CAND-4049</t>
        </is>
      </c>
      <c r="B53" s="5" t="inlineStr">
        <is>
          <t>Bongani Mabaso</t>
        </is>
      </c>
      <c r="C53" s="5" t="inlineStr">
        <is>
          <t>Call Centre Agent</t>
        </is>
      </c>
      <c r="D53" s="5" t="inlineStr">
        <is>
          <t>LinkedIn</t>
        </is>
      </c>
      <c r="E53" s="6" t="n">
        <v>46058</v>
      </c>
      <c r="F53" s="5" t="inlineStr">
        <is>
          <t>Interviewed</t>
        </is>
      </c>
      <c r="G53" s="4">
        <f>TODAY()-E53</f>
        <v/>
      </c>
      <c r="H53" s="4">
        <f>IF(F53="Hired","Hired",IF(F53="Offer","In Offer","In Pipeline"))</f>
        <v/>
      </c>
    </row>
    <row r="54">
      <c r="A54" s="7" t="inlineStr">
        <is>
          <t>CAND-4050</t>
        </is>
      </c>
      <c r="B54" s="8" t="inlineStr">
        <is>
          <t>Nomvula Zulu</t>
        </is>
      </c>
      <c r="C54" s="8" t="inlineStr">
        <is>
          <t>QA Analyst</t>
        </is>
      </c>
      <c r="D54" s="8" t="inlineStr">
        <is>
          <t>Referral</t>
        </is>
      </c>
      <c r="E54" s="9" t="n">
        <v>46148</v>
      </c>
      <c r="F54" s="8" t="inlineStr">
        <is>
          <t>Applied</t>
        </is>
      </c>
      <c r="G54" s="7">
        <f>TODAY()-E54</f>
        <v/>
      </c>
      <c r="H54" s="7">
        <f>IF(F54="Hired","Hired",IF(F54="Offer","In Offer","In Pipeline"))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3" customWidth="1" min="5" max="5"/>
    <col width="12" customWidth="1" min="6" max="6"/>
    <col width="11" customWidth="1" min="7" max="7"/>
    <col width="8" customWidth="1" min="8" max="8"/>
    <col width="11" customWidth="1" min="9" max="9"/>
  </cols>
  <sheetData>
    <row r="1" ht="30" customHeight="1">
      <c r="A1" s="1" t="inlineStr">
        <is>
          <t>Hiring Funnel &amp; Conversion Metrics</t>
        </is>
      </c>
    </row>
    <row r="2">
      <c r="A2" s="2" t="inlineStr">
        <is>
          <t>Stage reached counts and stage-to-stage conversion</t>
        </is>
      </c>
    </row>
    <row r="4" ht="30" customHeight="1">
      <c r="A4" s="3" t="inlineStr">
        <is>
          <t>Stage</t>
        </is>
      </c>
      <c r="B4" s="3" t="inlineStr">
        <is>
          <t>Reached</t>
        </is>
      </c>
      <c r="C4" s="3" t="inlineStr">
        <is>
          <t>Conversion vs Prev</t>
        </is>
      </c>
      <c r="D4" s="3" t="inlineStr">
        <is>
          <t>% of Applicants</t>
        </is>
      </c>
      <c r="F4" s="3" t="inlineStr">
        <is>
          <t>Source</t>
        </is>
      </c>
      <c r="G4" s="3" t="inlineStr">
        <is>
          <t>Applicants</t>
        </is>
      </c>
      <c r="H4" s="3" t="inlineStr">
        <is>
          <t>Hired</t>
        </is>
      </c>
      <c r="I4" s="3" t="inlineStr">
        <is>
          <t>Hire Rate</t>
        </is>
      </c>
    </row>
    <row r="5">
      <c r="A5" s="5" t="inlineStr">
        <is>
          <t>Applied</t>
        </is>
      </c>
      <c r="B5" s="4">
        <f>COUNTIF(Candidates!$F$5:$F$54,"Applied")+COUNTIF(Candidates!$F$5:$F$54,"Screened")+COUNTIF(Candidates!$F$5:$F$54,"Interviewed")+COUNTIF(Candidates!$F$5:$F$54,"Offer")+COUNTIF(Candidates!$F$5:$F$54,"Hired")</f>
        <v/>
      </c>
      <c r="C5" s="4" t="inlineStr">
        <is>
          <t>—</t>
        </is>
      </c>
      <c r="D5" s="10">
        <f>B5/$B$5</f>
        <v/>
      </c>
      <c r="F5" s="5" t="inlineStr">
        <is>
          <t>LinkedIn</t>
        </is>
      </c>
      <c r="G5" s="4">
        <f>COUNTIF(Candidates!$D$5:$D$54,F5)</f>
        <v/>
      </c>
      <c r="H5" s="4">
        <f>COUNTIFS(Candidates!$D$5:$D$54,F5,Candidates!$F$5:$F$54,"Hired")</f>
        <v/>
      </c>
      <c r="I5" s="10">
        <f>IFERROR(H5/G5,0)</f>
        <v/>
      </c>
    </row>
    <row r="6">
      <c r="A6" s="8" t="inlineStr">
        <is>
          <t>Screened</t>
        </is>
      </c>
      <c r="B6" s="7">
        <f>COUNTIF(Candidates!$F$5:$F$54,"Screened")+COUNTIF(Candidates!$F$5:$F$54,"Interviewed")+COUNTIF(Candidates!$F$5:$F$54,"Offer")+COUNTIF(Candidates!$F$5:$F$54,"Hired")</f>
        <v/>
      </c>
      <c r="C6" s="11">
        <f>B6/B5</f>
        <v/>
      </c>
      <c r="D6" s="11">
        <f>B6/$B$5</f>
        <v/>
      </c>
      <c r="F6" s="8" t="inlineStr">
        <is>
          <t>Referral</t>
        </is>
      </c>
      <c r="G6" s="7">
        <f>COUNTIF(Candidates!$D$5:$D$54,F6)</f>
        <v/>
      </c>
      <c r="H6" s="7">
        <f>COUNTIFS(Candidates!$D$5:$D$54,F6,Candidates!$F$5:$F$54,"Hired")</f>
        <v/>
      </c>
      <c r="I6" s="11">
        <f>IFERROR(H6/G6,0)</f>
        <v/>
      </c>
    </row>
    <row r="7">
      <c r="A7" s="5" t="inlineStr">
        <is>
          <t>Interviewed</t>
        </is>
      </c>
      <c r="B7" s="4">
        <f>COUNTIF(Candidates!$F$5:$F$54,"Interviewed")+COUNTIF(Candidates!$F$5:$F$54,"Offer")+COUNTIF(Candidates!$F$5:$F$54,"Hired")</f>
        <v/>
      </c>
      <c r="C7" s="10">
        <f>B7/B6</f>
        <v/>
      </c>
      <c r="D7" s="10">
        <f>B7/$B$5</f>
        <v/>
      </c>
      <c r="F7" s="5" t="inlineStr">
        <is>
          <t>Job Board</t>
        </is>
      </c>
      <c r="G7" s="4">
        <f>COUNTIF(Candidates!$D$5:$D$54,F7)</f>
        <v/>
      </c>
      <c r="H7" s="4">
        <f>COUNTIFS(Candidates!$D$5:$D$54,F7,Candidates!$F$5:$F$54,"Hired")</f>
        <v/>
      </c>
      <c r="I7" s="10">
        <f>IFERROR(H7/G7,0)</f>
        <v/>
      </c>
    </row>
    <row r="8">
      <c r="A8" s="8" t="inlineStr">
        <is>
          <t>Offer</t>
        </is>
      </c>
      <c r="B8" s="7">
        <f>COUNTIF(Candidates!$F$5:$F$54,"Offer")+COUNTIF(Candidates!$F$5:$F$54,"Hired")</f>
        <v/>
      </c>
      <c r="C8" s="11">
        <f>B8/B7</f>
        <v/>
      </c>
      <c r="D8" s="11">
        <f>B8/$B$5</f>
        <v/>
      </c>
      <c r="F8" s="8" t="inlineStr">
        <is>
          <t>Walk-in</t>
        </is>
      </c>
      <c r="G8" s="7">
        <f>COUNTIF(Candidates!$D$5:$D$54,F8)</f>
        <v/>
      </c>
      <c r="H8" s="7">
        <f>COUNTIFS(Candidates!$D$5:$D$54,F8,Candidates!$F$5:$F$54,"Hired")</f>
        <v/>
      </c>
      <c r="I8" s="11">
        <f>IFERROR(H8/G8,0)</f>
        <v/>
      </c>
    </row>
    <row r="9">
      <c r="A9" s="5" t="inlineStr">
        <is>
          <t>Hired</t>
        </is>
      </c>
      <c r="B9" s="4">
        <f>COUNTIF(Candidates!$F$5:$F$54,"Hired")</f>
        <v/>
      </c>
      <c r="C9" s="10">
        <f>B9/B8</f>
        <v/>
      </c>
      <c r="D9" s="10">
        <f>B9/$B$5</f>
        <v/>
      </c>
      <c r="F9" s="5" t="inlineStr">
        <is>
          <t>Agency</t>
        </is>
      </c>
      <c r="G9" s="4">
        <f>COUNTIF(Candidates!$D$5:$D$54,F9)</f>
        <v/>
      </c>
      <c r="H9" s="4">
        <f>COUNTIFS(Candidates!$D$5:$D$54,F9,Candidates!$F$5:$F$54,"Hired")</f>
        <v/>
      </c>
      <c r="I9" s="10">
        <f>IFERROR(H9/G9,0)</f>
        <v/>
      </c>
    </row>
    <row r="12">
      <c r="A12" s="12" t="inlineStr">
        <is>
          <t>Total Applicants</t>
        </is>
      </c>
      <c r="B12" s="13">
        <f>B5</f>
        <v/>
      </c>
    </row>
    <row r="13">
      <c r="A13" s="12" t="inlineStr">
        <is>
          <t>Total Hired</t>
        </is>
      </c>
      <c r="B13" s="13">
        <f>COUNTIF(Candidates!$F$5:$F$54,"Hired")</f>
        <v/>
      </c>
    </row>
    <row r="14">
      <c r="A14" s="12" t="inlineStr">
        <is>
          <t>Overall Hire Rate</t>
        </is>
      </c>
      <c r="B14" s="14">
        <f>B13/B12</f>
        <v/>
      </c>
    </row>
    <row r="15">
      <c r="A15" s="12" t="inlineStr">
        <is>
          <t>Avg Days in Process</t>
        </is>
      </c>
      <c r="B15" s="15">
        <f>AVERAGE(Candidates!$G$5:$G$54)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2026-08-08T23:26:12Z</dcterms:created>
  <dcterms:modified xmlns:dcterms="http://purl.org/dc/terms/" xmlns:xsi="http://www.w3.org/2001/XMLSchema-instance" xsi:type="dcterms:W3CDTF">2026-08-08T23:26:12Z</dcterms:modified>
</cp:coreProperties>
</file>