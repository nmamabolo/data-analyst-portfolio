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Que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R#,##0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6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166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166" fontId="6" fillId="4" borderId="0" pivotButton="0" quotePrefix="0" xfId="0"/>
    <xf numFmtId="3" fontId="6" fillId="4" borderId="0" pivotButton="0" quotePrefix="0" xfId="0"/>
    <xf numFmtId="3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'Query Report'!B10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'Query Report'!$A$11:$A$14</f>
            </numRef>
          </cat>
          <val>
            <numRef>
              <f>'Query Report'!$B$11:$B$14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Product</a:t>
            </a:r>
          </a:p>
        </rich>
      </tx>
    </title>
    <plotArea>
      <pieChart>
        <varyColors val="1"/>
        <ser>
          <idx val="0"/>
          <order val="0"/>
          <tx>
            <strRef>
              <f>'Query Report'!B17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'Query Report'!$A$18:$A$22</f>
            </numRef>
          </cat>
          <val>
            <numRef>
              <f>'Query Report'!$B$18:$B$22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16" customWidth="1" min="5" max="5"/>
    <col width="7" customWidth="1" min="6" max="6"/>
    <col width="11" customWidth="1" min="7" max="7"/>
    <col width="13" customWidth="1" min="8" max="8"/>
  </cols>
  <sheetData>
    <row r="1" ht="30" customHeight="1">
      <c r="A1" s="1" t="inlineStr">
        <is>
          <t>Sales Transactions — Source Data</t>
        </is>
      </c>
    </row>
    <row r="2">
      <c r="A2" s="2" t="inlineStr">
        <is>
          <t>Raw ledger feeding the Query Report tab (SUMIFS / INDEX-MATCH)</t>
        </is>
      </c>
    </row>
    <row r="4" ht="30" customHeight="1">
      <c r="A4" s="3" t="inlineStr">
        <is>
          <t>Order ID</t>
        </is>
      </c>
      <c r="B4" s="3" t="inlineStr">
        <is>
          <t>Date</t>
        </is>
      </c>
      <c r="C4" s="3" t="inlineStr">
        <is>
          <t>Region</t>
        </is>
      </c>
      <c r="D4" s="3" t="inlineStr">
        <is>
          <t>Product</t>
        </is>
      </c>
      <c r="E4" s="3" t="inlineStr">
        <is>
          <t>Sales Rep</t>
        </is>
      </c>
      <c r="F4" s="3" t="inlineStr">
        <is>
          <t>Units</t>
        </is>
      </c>
      <c r="G4" s="3" t="inlineStr">
        <is>
          <t>Unit Price</t>
        </is>
      </c>
      <c r="H4" s="3" t="inlineStr">
        <is>
          <t>Revenue</t>
        </is>
      </c>
    </row>
    <row r="5">
      <c r="A5" s="4" t="inlineStr">
        <is>
          <t>SO-5000</t>
        </is>
      </c>
      <c r="B5" s="5" t="n">
        <v>46066</v>
      </c>
      <c r="C5" s="6" t="inlineStr">
        <is>
          <t>Gauteng</t>
        </is>
      </c>
      <c r="D5" s="6" t="inlineStr">
        <is>
          <t>LTE Router</t>
        </is>
      </c>
      <c r="E5" s="6" t="inlineStr">
        <is>
          <t>Lerato Nkosi</t>
        </is>
      </c>
      <c r="F5" s="4" t="n">
        <v>21</v>
      </c>
      <c r="G5" s="7" t="n">
        <v>1299</v>
      </c>
      <c r="H5" s="7">
        <f>F5*G5</f>
        <v/>
      </c>
    </row>
    <row r="6">
      <c r="A6" s="8" t="inlineStr">
        <is>
          <t>SO-5001</t>
        </is>
      </c>
      <c r="B6" s="9" t="n">
        <v>46034</v>
      </c>
      <c r="C6" s="10" t="inlineStr">
        <is>
          <t>Gauteng</t>
        </is>
      </c>
      <c r="D6" s="10" t="inlineStr">
        <is>
          <t>Cloud PBX</t>
        </is>
      </c>
      <c r="E6" s="10" t="inlineStr">
        <is>
          <t>Naledi Molefe</t>
        </is>
      </c>
      <c r="F6" s="8" t="n">
        <v>19</v>
      </c>
      <c r="G6" s="11" t="n">
        <v>1499</v>
      </c>
      <c r="H6" s="11">
        <f>F6*G6</f>
        <v/>
      </c>
    </row>
    <row r="7">
      <c r="A7" s="4" t="inlineStr">
        <is>
          <t>SO-5002</t>
        </is>
      </c>
      <c r="B7" s="5" t="n">
        <v>46036</v>
      </c>
      <c r="C7" s="6" t="inlineStr">
        <is>
          <t>Gauteng</t>
        </is>
      </c>
      <c r="D7" s="6" t="inlineStr">
        <is>
          <t>Fibre 50Mbps</t>
        </is>
      </c>
      <c r="E7" s="6" t="inlineStr">
        <is>
          <t>Naledi Molefe</t>
        </is>
      </c>
      <c r="F7" s="4" t="n">
        <v>14</v>
      </c>
      <c r="G7" s="7" t="n">
        <v>599</v>
      </c>
      <c r="H7" s="7">
        <f>F7*G7</f>
        <v/>
      </c>
    </row>
    <row r="8">
      <c r="A8" s="8" t="inlineStr">
        <is>
          <t>SO-5003</t>
        </is>
      </c>
      <c r="B8" s="9" t="n">
        <v>46156</v>
      </c>
      <c r="C8" s="10" t="inlineStr">
        <is>
          <t>Gauteng</t>
        </is>
      </c>
      <c r="D8" s="10" t="inlineStr">
        <is>
          <t>Fibre 50Mbps</t>
        </is>
      </c>
      <c r="E8" s="10" t="inlineStr">
        <is>
          <t>Naledi Molefe</t>
        </is>
      </c>
      <c r="F8" s="8" t="n">
        <v>2</v>
      </c>
      <c r="G8" s="11" t="n">
        <v>599</v>
      </c>
      <c r="H8" s="11">
        <f>F8*G8</f>
        <v/>
      </c>
    </row>
    <row r="9">
      <c r="A9" s="4" t="inlineStr">
        <is>
          <t>SO-5004</t>
        </is>
      </c>
      <c r="B9" s="5" t="n">
        <v>46041</v>
      </c>
      <c r="C9" s="6" t="inlineStr">
        <is>
          <t>Eastern Cape</t>
        </is>
      </c>
      <c r="D9" s="6" t="inlineStr">
        <is>
          <t>Cloud PBX</t>
        </is>
      </c>
      <c r="E9" s="6" t="inlineStr">
        <is>
          <t>Thabo Mokoena</t>
        </is>
      </c>
      <c r="F9" s="4" t="n">
        <v>19</v>
      </c>
      <c r="G9" s="7" t="n">
        <v>1499</v>
      </c>
      <c r="H9" s="7">
        <f>F9*G9</f>
        <v/>
      </c>
    </row>
    <row r="10">
      <c r="A10" s="8" t="inlineStr">
        <is>
          <t>SO-5005</t>
        </is>
      </c>
      <c r="B10" s="9" t="n">
        <v>46040</v>
      </c>
      <c r="C10" s="10" t="inlineStr">
        <is>
          <t>KZN</t>
        </is>
      </c>
      <c r="D10" s="10" t="inlineStr">
        <is>
          <t>Fibre 100Mbps</t>
        </is>
      </c>
      <c r="E10" s="10" t="inlineStr">
        <is>
          <t>Tumelo Sithole</t>
        </is>
      </c>
      <c r="F10" s="8" t="n">
        <v>5</v>
      </c>
      <c r="G10" s="11" t="n">
        <v>899</v>
      </c>
      <c r="H10" s="11">
        <f>F10*G10</f>
        <v/>
      </c>
    </row>
    <row r="11">
      <c r="A11" s="4" t="inlineStr">
        <is>
          <t>SO-5006</t>
        </is>
      </c>
      <c r="B11" s="5" t="n">
        <v>46146</v>
      </c>
      <c r="C11" s="6" t="inlineStr">
        <is>
          <t>KZN</t>
        </is>
      </c>
      <c r="D11" s="6" t="inlineStr">
        <is>
          <t>Fibre 100Mbps</t>
        </is>
      </c>
      <c r="E11" s="6" t="inlineStr">
        <is>
          <t>Sipho Dlamini</t>
        </is>
      </c>
      <c r="F11" s="4" t="n">
        <v>19</v>
      </c>
      <c r="G11" s="7" t="n">
        <v>899</v>
      </c>
      <c r="H11" s="7">
        <f>F11*G11</f>
        <v/>
      </c>
    </row>
    <row r="12">
      <c r="A12" s="8" t="inlineStr">
        <is>
          <t>SO-5007</t>
        </is>
      </c>
      <c r="B12" s="9" t="n">
        <v>46161</v>
      </c>
      <c r="C12" s="10" t="inlineStr">
        <is>
          <t>Western Cape</t>
        </is>
      </c>
      <c r="D12" s="10" t="inlineStr">
        <is>
          <t>Fibre 50Mbps</t>
        </is>
      </c>
      <c r="E12" s="10" t="inlineStr">
        <is>
          <t>Zanele Mahlangu</t>
        </is>
      </c>
      <c r="F12" s="8" t="n">
        <v>21</v>
      </c>
      <c r="G12" s="11" t="n">
        <v>599</v>
      </c>
      <c r="H12" s="11">
        <f>F12*G12</f>
        <v/>
      </c>
    </row>
    <row r="13">
      <c r="A13" s="4" t="inlineStr">
        <is>
          <t>SO-5008</t>
        </is>
      </c>
      <c r="B13" s="5" t="n">
        <v>46165</v>
      </c>
      <c r="C13" s="6" t="inlineStr">
        <is>
          <t>Gauteng</t>
        </is>
      </c>
      <c r="D13" s="6" t="inlineStr">
        <is>
          <t>Fibre 50Mbps</t>
        </is>
      </c>
      <c r="E13" s="6" t="inlineStr">
        <is>
          <t>Naledi Molefe</t>
        </is>
      </c>
      <c r="F13" s="4" t="n">
        <v>3</v>
      </c>
      <c r="G13" s="7" t="n">
        <v>599</v>
      </c>
      <c r="H13" s="7">
        <f>F13*G13</f>
        <v/>
      </c>
    </row>
    <row r="14">
      <c r="A14" s="8" t="inlineStr">
        <is>
          <t>SO-5009</t>
        </is>
      </c>
      <c r="B14" s="9" t="n">
        <v>46191</v>
      </c>
      <c r="C14" s="10" t="inlineStr">
        <is>
          <t>KZN</t>
        </is>
      </c>
      <c r="D14" s="10" t="inlineStr">
        <is>
          <t>Voice Plan</t>
        </is>
      </c>
      <c r="E14" s="10" t="inlineStr">
        <is>
          <t>Ayanda Ndlovu</t>
        </is>
      </c>
      <c r="F14" s="8" t="n">
        <v>14</v>
      </c>
      <c r="G14" s="11" t="n">
        <v>199</v>
      </c>
      <c r="H14" s="11">
        <f>F14*G14</f>
        <v/>
      </c>
    </row>
    <row r="15">
      <c r="A15" s="4" t="inlineStr">
        <is>
          <t>SO-5010</t>
        </is>
      </c>
      <c r="B15" s="5" t="n">
        <v>46124</v>
      </c>
      <c r="C15" s="6" t="inlineStr">
        <is>
          <t>Western Cape</t>
        </is>
      </c>
      <c r="D15" s="6" t="inlineStr">
        <is>
          <t>Cloud PBX</t>
        </is>
      </c>
      <c r="E15" s="6" t="inlineStr">
        <is>
          <t>Sipho Dlamini</t>
        </is>
      </c>
      <c r="F15" s="4" t="n">
        <v>10</v>
      </c>
      <c r="G15" s="7" t="n">
        <v>1499</v>
      </c>
      <c r="H15" s="7">
        <f>F15*G15</f>
        <v/>
      </c>
    </row>
    <row r="16">
      <c r="A16" s="8" t="inlineStr">
        <is>
          <t>SO-5011</t>
        </is>
      </c>
      <c r="B16" s="9" t="n">
        <v>46041</v>
      </c>
      <c r="C16" s="10" t="inlineStr">
        <is>
          <t>Eastern Cape</t>
        </is>
      </c>
      <c r="D16" s="10" t="inlineStr">
        <is>
          <t>Fibre 100Mbps</t>
        </is>
      </c>
      <c r="E16" s="10" t="inlineStr">
        <is>
          <t>Zanele Mahlangu</t>
        </is>
      </c>
      <c r="F16" s="8" t="n">
        <v>10</v>
      </c>
      <c r="G16" s="11" t="n">
        <v>899</v>
      </c>
      <c r="H16" s="11">
        <f>F16*G16</f>
        <v/>
      </c>
    </row>
    <row r="17">
      <c r="A17" s="4" t="inlineStr">
        <is>
          <t>SO-5012</t>
        </is>
      </c>
      <c r="B17" s="5" t="n">
        <v>46101</v>
      </c>
      <c r="C17" s="6" t="inlineStr">
        <is>
          <t>Gauteng</t>
        </is>
      </c>
      <c r="D17" s="6" t="inlineStr">
        <is>
          <t>Voice Plan</t>
        </is>
      </c>
      <c r="E17" s="6" t="inlineStr">
        <is>
          <t>Tumelo Sithole</t>
        </is>
      </c>
      <c r="F17" s="4" t="n">
        <v>3</v>
      </c>
      <c r="G17" s="7" t="n">
        <v>199</v>
      </c>
      <c r="H17" s="7">
        <f>F17*G17</f>
        <v/>
      </c>
    </row>
    <row r="18">
      <c r="A18" s="8" t="inlineStr">
        <is>
          <t>SO-5013</t>
        </is>
      </c>
      <c r="B18" s="9" t="n">
        <v>46214</v>
      </c>
      <c r="C18" s="10" t="inlineStr">
        <is>
          <t>Eastern Cape</t>
        </is>
      </c>
      <c r="D18" s="10" t="inlineStr">
        <is>
          <t>Fibre 100Mbps</t>
        </is>
      </c>
      <c r="E18" s="10" t="inlineStr">
        <is>
          <t>Tumelo Sithole</t>
        </is>
      </c>
      <c r="F18" s="8" t="n">
        <v>5</v>
      </c>
      <c r="G18" s="11" t="n">
        <v>899</v>
      </c>
      <c r="H18" s="11">
        <f>F18*G18</f>
        <v/>
      </c>
    </row>
    <row r="19">
      <c r="A19" s="4" t="inlineStr">
        <is>
          <t>SO-5014</t>
        </is>
      </c>
      <c r="B19" s="5" t="n">
        <v>46176</v>
      </c>
      <c r="C19" s="6" t="inlineStr">
        <is>
          <t>KZN</t>
        </is>
      </c>
      <c r="D19" s="6" t="inlineStr">
        <is>
          <t>Fibre 50Mbps</t>
        </is>
      </c>
      <c r="E19" s="6" t="inlineStr">
        <is>
          <t>Zanele Mahlangu</t>
        </is>
      </c>
      <c r="F19" s="4" t="n">
        <v>25</v>
      </c>
      <c r="G19" s="7" t="n">
        <v>599</v>
      </c>
      <c r="H19" s="7">
        <f>F19*G19</f>
        <v/>
      </c>
    </row>
    <row r="20">
      <c r="A20" s="8" t="inlineStr">
        <is>
          <t>SO-5015</t>
        </is>
      </c>
      <c r="B20" s="9" t="n">
        <v>46158</v>
      </c>
      <c r="C20" s="10" t="inlineStr">
        <is>
          <t>Eastern Cape</t>
        </is>
      </c>
      <c r="D20" s="10" t="inlineStr">
        <is>
          <t>LTE Router</t>
        </is>
      </c>
      <c r="E20" s="10" t="inlineStr">
        <is>
          <t>Lerato Nkosi</t>
        </is>
      </c>
      <c r="F20" s="8" t="n">
        <v>19</v>
      </c>
      <c r="G20" s="11" t="n">
        <v>1299</v>
      </c>
      <c r="H20" s="11">
        <f>F20*G20</f>
        <v/>
      </c>
    </row>
    <row r="21">
      <c r="A21" s="4" t="inlineStr">
        <is>
          <t>SO-5016</t>
        </is>
      </c>
      <c r="B21" s="5" t="n">
        <v>46097</v>
      </c>
      <c r="C21" s="6" t="inlineStr">
        <is>
          <t>Gauteng</t>
        </is>
      </c>
      <c r="D21" s="6" t="inlineStr">
        <is>
          <t>Fibre 50Mbps</t>
        </is>
      </c>
      <c r="E21" s="6" t="inlineStr">
        <is>
          <t>Thabo Mokoena</t>
        </is>
      </c>
      <c r="F21" s="4" t="n">
        <v>23</v>
      </c>
      <c r="G21" s="7" t="n">
        <v>599</v>
      </c>
      <c r="H21" s="7">
        <f>F21*G21</f>
        <v/>
      </c>
    </row>
    <row r="22">
      <c r="A22" s="8" t="inlineStr">
        <is>
          <t>SO-5017</t>
        </is>
      </c>
      <c r="B22" s="9" t="n">
        <v>46192</v>
      </c>
      <c r="C22" s="10" t="inlineStr">
        <is>
          <t>Eastern Cape</t>
        </is>
      </c>
      <c r="D22" s="10" t="inlineStr">
        <is>
          <t>LTE Router</t>
        </is>
      </c>
      <c r="E22" s="10" t="inlineStr">
        <is>
          <t>Kagiso Khumalo</t>
        </is>
      </c>
      <c r="F22" s="8" t="n">
        <v>22</v>
      </c>
      <c r="G22" s="11" t="n">
        <v>1299</v>
      </c>
      <c r="H22" s="11">
        <f>F22*G22</f>
        <v/>
      </c>
    </row>
    <row r="23">
      <c r="A23" s="4" t="inlineStr">
        <is>
          <t>SO-5018</t>
        </is>
      </c>
      <c r="B23" s="5" t="n">
        <v>46185</v>
      </c>
      <c r="C23" s="6" t="inlineStr">
        <is>
          <t>Eastern Cape</t>
        </is>
      </c>
      <c r="D23" s="6" t="inlineStr">
        <is>
          <t>Voice Plan</t>
        </is>
      </c>
      <c r="E23" s="6" t="inlineStr">
        <is>
          <t>Zanele Mahlangu</t>
        </is>
      </c>
      <c r="F23" s="4" t="n">
        <v>1</v>
      </c>
      <c r="G23" s="7" t="n">
        <v>199</v>
      </c>
      <c r="H23" s="7">
        <f>F23*G23</f>
        <v/>
      </c>
    </row>
    <row r="24">
      <c r="A24" s="8" t="inlineStr">
        <is>
          <t>SO-5019</t>
        </is>
      </c>
      <c r="B24" s="9" t="n">
        <v>46146</v>
      </c>
      <c r="C24" s="10" t="inlineStr">
        <is>
          <t>Gauteng</t>
        </is>
      </c>
      <c r="D24" s="10" t="inlineStr">
        <is>
          <t>Fibre 100Mbps</t>
        </is>
      </c>
      <c r="E24" s="10" t="inlineStr">
        <is>
          <t>Naledi Molefe</t>
        </is>
      </c>
      <c r="F24" s="8" t="n">
        <v>16</v>
      </c>
      <c r="G24" s="11" t="n">
        <v>899</v>
      </c>
      <c r="H24" s="11">
        <f>F24*G24</f>
        <v/>
      </c>
    </row>
    <row r="25">
      <c r="A25" s="4" t="inlineStr">
        <is>
          <t>SO-5020</t>
        </is>
      </c>
      <c r="B25" s="5" t="n">
        <v>46077</v>
      </c>
      <c r="C25" s="6" t="inlineStr">
        <is>
          <t>Eastern Cape</t>
        </is>
      </c>
      <c r="D25" s="6" t="inlineStr">
        <is>
          <t>LTE Router</t>
        </is>
      </c>
      <c r="E25" s="6" t="inlineStr">
        <is>
          <t>Tumelo Sithole</t>
        </is>
      </c>
      <c r="F25" s="4" t="n">
        <v>8</v>
      </c>
      <c r="G25" s="7" t="n">
        <v>1299</v>
      </c>
      <c r="H25" s="7">
        <f>F25*G25</f>
        <v/>
      </c>
    </row>
    <row r="26">
      <c r="A26" s="8" t="inlineStr">
        <is>
          <t>SO-5021</t>
        </is>
      </c>
      <c r="B26" s="9" t="n">
        <v>46028</v>
      </c>
      <c r="C26" s="10" t="inlineStr">
        <is>
          <t>Eastern Cape</t>
        </is>
      </c>
      <c r="D26" s="10" t="inlineStr">
        <is>
          <t>Voice Plan</t>
        </is>
      </c>
      <c r="E26" s="10" t="inlineStr">
        <is>
          <t>Kagiso Khumalo</t>
        </is>
      </c>
      <c r="F26" s="8" t="n">
        <v>15</v>
      </c>
      <c r="G26" s="11" t="n">
        <v>199</v>
      </c>
      <c r="H26" s="11">
        <f>F26*G26</f>
        <v/>
      </c>
    </row>
    <row r="27">
      <c r="A27" s="4" t="inlineStr">
        <is>
          <t>SO-5022</t>
        </is>
      </c>
      <c r="B27" s="5" t="n">
        <v>46217</v>
      </c>
      <c r="C27" s="6" t="inlineStr">
        <is>
          <t>KZN</t>
        </is>
      </c>
      <c r="D27" s="6" t="inlineStr">
        <is>
          <t>Fibre 100Mbps</t>
        </is>
      </c>
      <c r="E27" s="6" t="inlineStr">
        <is>
          <t>Tumelo Sithole</t>
        </is>
      </c>
      <c r="F27" s="4" t="n">
        <v>18</v>
      </c>
      <c r="G27" s="7" t="n">
        <v>899</v>
      </c>
      <c r="H27" s="7">
        <f>F27*G27</f>
        <v/>
      </c>
    </row>
    <row r="28">
      <c r="A28" s="8" t="inlineStr">
        <is>
          <t>SO-5023</t>
        </is>
      </c>
      <c r="B28" s="9" t="n">
        <v>46186</v>
      </c>
      <c r="C28" s="10" t="inlineStr">
        <is>
          <t>Western Cape</t>
        </is>
      </c>
      <c r="D28" s="10" t="inlineStr">
        <is>
          <t>LTE Router</t>
        </is>
      </c>
      <c r="E28" s="10" t="inlineStr">
        <is>
          <t>Lerato Nkosi</t>
        </is>
      </c>
      <c r="F28" s="8" t="n">
        <v>8</v>
      </c>
      <c r="G28" s="11" t="n">
        <v>1299</v>
      </c>
      <c r="H28" s="11">
        <f>F28*G28</f>
        <v/>
      </c>
    </row>
    <row r="29">
      <c r="A29" s="4" t="inlineStr">
        <is>
          <t>SO-5024</t>
        </is>
      </c>
      <c r="B29" s="5" t="n">
        <v>46061</v>
      </c>
      <c r="C29" s="6" t="inlineStr">
        <is>
          <t>Western Cape</t>
        </is>
      </c>
      <c r="D29" s="6" t="inlineStr">
        <is>
          <t>Fibre 100Mbps</t>
        </is>
      </c>
      <c r="E29" s="6" t="inlineStr">
        <is>
          <t>Thabo Mokoena</t>
        </is>
      </c>
      <c r="F29" s="4" t="n">
        <v>22</v>
      </c>
      <c r="G29" s="7" t="n">
        <v>899</v>
      </c>
      <c r="H29" s="7">
        <f>F29*G29</f>
        <v/>
      </c>
    </row>
    <row r="30">
      <c r="A30" s="8" t="inlineStr">
        <is>
          <t>SO-5025</t>
        </is>
      </c>
      <c r="B30" s="9" t="n">
        <v>46222</v>
      </c>
      <c r="C30" s="10" t="inlineStr">
        <is>
          <t>KZN</t>
        </is>
      </c>
      <c r="D30" s="10" t="inlineStr">
        <is>
          <t>Voice Plan</t>
        </is>
      </c>
      <c r="E30" s="10" t="inlineStr">
        <is>
          <t>Kagiso Khumalo</t>
        </is>
      </c>
      <c r="F30" s="8" t="n">
        <v>6</v>
      </c>
      <c r="G30" s="11" t="n">
        <v>199</v>
      </c>
      <c r="H30" s="11">
        <f>F30*G30</f>
        <v/>
      </c>
    </row>
    <row r="31">
      <c r="A31" s="4" t="inlineStr">
        <is>
          <t>SO-5026</t>
        </is>
      </c>
      <c r="B31" s="5" t="n">
        <v>46067</v>
      </c>
      <c r="C31" s="6" t="inlineStr">
        <is>
          <t>KZN</t>
        </is>
      </c>
      <c r="D31" s="6" t="inlineStr">
        <is>
          <t>Fibre 50Mbps</t>
        </is>
      </c>
      <c r="E31" s="6" t="inlineStr">
        <is>
          <t>Zanele Mahlangu</t>
        </is>
      </c>
      <c r="F31" s="4" t="n">
        <v>18</v>
      </c>
      <c r="G31" s="7" t="n">
        <v>599</v>
      </c>
      <c r="H31" s="7">
        <f>F31*G31</f>
        <v/>
      </c>
    </row>
    <row r="32">
      <c r="A32" s="8" t="inlineStr">
        <is>
          <t>SO-5027</t>
        </is>
      </c>
      <c r="B32" s="9" t="n">
        <v>46201</v>
      </c>
      <c r="C32" s="10" t="inlineStr">
        <is>
          <t>Gauteng</t>
        </is>
      </c>
      <c r="D32" s="10" t="inlineStr">
        <is>
          <t>Fibre 100Mbps</t>
        </is>
      </c>
      <c r="E32" s="10" t="inlineStr">
        <is>
          <t>Ayanda Ndlovu</t>
        </is>
      </c>
      <c r="F32" s="8" t="n">
        <v>17</v>
      </c>
      <c r="G32" s="11" t="n">
        <v>899</v>
      </c>
      <c r="H32" s="11">
        <f>F32*G32</f>
        <v/>
      </c>
    </row>
    <row r="33">
      <c r="A33" s="4" t="inlineStr">
        <is>
          <t>SO-5028</t>
        </is>
      </c>
      <c r="B33" s="5" t="n">
        <v>46125</v>
      </c>
      <c r="C33" s="6" t="inlineStr">
        <is>
          <t>Eastern Cape</t>
        </is>
      </c>
      <c r="D33" s="6" t="inlineStr">
        <is>
          <t>Cloud PBX</t>
        </is>
      </c>
      <c r="E33" s="6" t="inlineStr">
        <is>
          <t>Lerato Nkosi</t>
        </is>
      </c>
      <c r="F33" s="4" t="n">
        <v>13</v>
      </c>
      <c r="G33" s="7" t="n">
        <v>1499</v>
      </c>
      <c r="H33" s="7">
        <f>F33*G33</f>
        <v/>
      </c>
    </row>
    <row r="34">
      <c r="A34" s="8" t="inlineStr">
        <is>
          <t>SO-5029</t>
        </is>
      </c>
      <c r="B34" s="9" t="n">
        <v>46186</v>
      </c>
      <c r="C34" s="10" t="inlineStr">
        <is>
          <t>Western Cape</t>
        </is>
      </c>
      <c r="D34" s="10" t="inlineStr">
        <is>
          <t>Voice Plan</t>
        </is>
      </c>
      <c r="E34" s="10" t="inlineStr">
        <is>
          <t>Lerato Nkosi</t>
        </is>
      </c>
      <c r="F34" s="8" t="n">
        <v>2</v>
      </c>
      <c r="G34" s="11" t="n">
        <v>199</v>
      </c>
      <c r="H34" s="11">
        <f>F34*G34</f>
        <v/>
      </c>
    </row>
    <row r="35">
      <c r="A35" s="4" t="inlineStr">
        <is>
          <t>SO-5030</t>
        </is>
      </c>
      <c r="B35" s="5" t="n">
        <v>46118</v>
      </c>
      <c r="C35" s="6" t="inlineStr">
        <is>
          <t>KZN</t>
        </is>
      </c>
      <c r="D35" s="6" t="inlineStr">
        <is>
          <t>Fibre 100Mbps</t>
        </is>
      </c>
      <c r="E35" s="6" t="inlineStr">
        <is>
          <t>Thabo Mokoena</t>
        </is>
      </c>
      <c r="F35" s="4" t="n">
        <v>4</v>
      </c>
      <c r="G35" s="7" t="n">
        <v>899</v>
      </c>
      <c r="H35" s="7">
        <f>F35*G35</f>
        <v/>
      </c>
    </row>
    <row r="36">
      <c r="A36" s="8" t="inlineStr">
        <is>
          <t>SO-5031</t>
        </is>
      </c>
      <c r="B36" s="9" t="n">
        <v>46041</v>
      </c>
      <c r="C36" s="10" t="inlineStr">
        <is>
          <t>Gauteng</t>
        </is>
      </c>
      <c r="D36" s="10" t="inlineStr">
        <is>
          <t>Fibre 50Mbps</t>
        </is>
      </c>
      <c r="E36" s="10" t="inlineStr">
        <is>
          <t>Zanele Mahlangu</t>
        </is>
      </c>
      <c r="F36" s="8" t="n">
        <v>5</v>
      </c>
      <c r="G36" s="11" t="n">
        <v>599</v>
      </c>
      <c r="H36" s="11">
        <f>F36*G36</f>
        <v/>
      </c>
    </row>
    <row r="37">
      <c r="A37" s="4" t="inlineStr">
        <is>
          <t>SO-5032</t>
        </is>
      </c>
      <c r="B37" s="5" t="n">
        <v>46025</v>
      </c>
      <c r="C37" s="6" t="inlineStr">
        <is>
          <t>Eastern Cape</t>
        </is>
      </c>
      <c r="D37" s="6" t="inlineStr">
        <is>
          <t>Cloud PBX</t>
        </is>
      </c>
      <c r="E37" s="6" t="inlineStr">
        <is>
          <t>Sipho Dlamini</t>
        </is>
      </c>
      <c r="F37" s="4" t="n">
        <v>7</v>
      </c>
      <c r="G37" s="7" t="n">
        <v>1499</v>
      </c>
      <c r="H37" s="7">
        <f>F37*G37</f>
        <v/>
      </c>
    </row>
    <row r="38">
      <c r="A38" s="8" t="inlineStr">
        <is>
          <t>SO-5033</t>
        </is>
      </c>
      <c r="B38" s="9" t="n">
        <v>46101</v>
      </c>
      <c r="C38" s="10" t="inlineStr">
        <is>
          <t>Eastern Cape</t>
        </is>
      </c>
      <c r="D38" s="10" t="inlineStr">
        <is>
          <t>LTE Router</t>
        </is>
      </c>
      <c r="E38" s="10" t="inlineStr">
        <is>
          <t>Lerato Nkosi</t>
        </is>
      </c>
      <c r="F38" s="8" t="n">
        <v>12</v>
      </c>
      <c r="G38" s="11" t="n">
        <v>1299</v>
      </c>
      <c r="H38" s="11">
        <f>F38*G38</f>
        <v/>
      </c>
    </row>
    <row r="39">
      <c r="A39" s="4" t="inlineStr">
        <is>
          <t>SO-5034</t>
        </is>
      </c>
      <c r="B39" s="5" t="n">
        <v>46219</v>
      </c>
      <c r="C39" s="6" t="inlineStr">
        <is>
          <t>Eastern Cape</t>
        </is>
      </c>
      <c r="D39" s="6" t="inlineStr">
        <is>
          <t>Fibre 50Mbps</t>
        </is>
      </c>
      <c r="E39" s="6" t="inlineStr">
        <is>
          <t>Ayanda Ndlovu</t>
        </is>
      </c>
      <c r="F39" s="4" t="n">
        <v>15</v>
      </c>
      <c r="G39" s="7" t="n">
        <v>599</v>
      </c>
      <c r="H39" s="7">
        <f>F39*G39</f>
        <v/>
      </c>
    </row>
    <row r="40">
      <c r="A40" s="8" t="inlineStr">
        <is>
          <t>SO-5035</t>
        </is>
      </c>
      <c r="B40" s="9" t="n">
        <v>46027</v>
      </c>
      <c r="C40" s="10" t="inlineStr">
        <is>
          <t>KZN</t>
        </is>
      </c>
      <c r="D40" s="10" t="inlineStr">
        <is>
          <t>LTE Router</t>
        </is>
      </c>
      <c r="E40" s="10" t="inlineStr">
        <is>
          <t>Kagiso Khumalo</t>
        </is>
      </c>
      <c r="F40" s="8" t="n">
        <v>4</v>
      </c>
      <c r="G40" s="11" t="n">
        <v>1299</v>
      </c>
      <c r="H40" s="11">
        <f>F40*G40</f>
        <v/>
      </c>
    </row>
    <row r="41">
      <c r="A41" s="4" t="inlineStr">
        <is>
          <t>SO-5036</t>
        </is>
      </c>
      <c r="B41" s="5" t="n">
        <v>46226</v>
      </c>
      <c r="C41" s="6" t="inlineStr">
        <is>
          <t>Gauteng</t>
        </is>
      </c>
      <c r="D41" s="6" t="inlineStr">
        <is>
          <t>Voice Plan</t>
        </is>
      </c>
      <c r="E41" s="6" t="inlineStr">
        <is>
          <t>Naledi Molefe</t>
        </is>
      </c>
      <c r="F41" s="4" t="n">
        <v>6</v>
      </c>
      <c r="G41" s="7" t="n">
        <v>199</v>
      </c>
      <c r="H41" s="7">
        <f>F41*G41</f>
        <v/>
      </c>
    </row>
    <row r="42">
      <c r="A42" s="8" t="inlineStr">
        <is>
          <t>SO-5037</t>
        </is>
      </c>
      <c r="B42" s="9" t="n">
        <v>46086</v>
      </c>
      <c r="C42" s="10" t="inlineStr">
        <is>
          <t>Gauteng</t>
        </is>
      </c>
      <c r="D42" s="10" t="inlineStr">
        <is>
          <t>Cloud PBX</t>
        </is>
      </c>
      <c r="E42" s="10" t="inlineStr">
        <is>
          <t>Kagiso Khumalo</t>
        </is>
      </c>
      <c r="F42" s="8" t="n">
        <v>23</v>
      </c>
      <c r="G42" s="11" t="n">
        <v>1499</v>
      </c>
      <c r="H42" s="11">
        <f>F42*G42</f>
        <v/>
      </c>
    </row>
    <row r="43">
      <c r="A43" s="4" t="inlineStr">
        <is>
          <t>SO-5038</t>
        </is>
      </c>
      <c r="B43" s="5" t="n">
        <v>46201</v>
      </c>
      <c r="C43" s="6" t="inlineStr">
        <is>
          <t>KZN</t>
        </is>
      </c>
      <c r="D43" s="6" t="inlineStr">
        <is>
          <t>Fibre 50Mbps</t>
        </is>
      </c>
      <c r="E43" s="6" t="inlineStr">
        <is>
          <t>Sipho Dlamini</t>
        </is>
      </c>
      <c r="F43" s="4" t="n">
        <v>9</v>
      </c>
      <c r="G43" s="7" t="n">
        <v>599</v>
      </c>
      <c r="H43" s="7">
        <f>F43*G43</f>
        <v/>
      </c>
    </row>
    <row r="44">
      <c r="A44" s="8" t="inlineStr">
        <is>
          <t>SO-5039</t>
        </is>
      </c>
      <c r="B44" s="9" t="n">
        <v>46211</v>
      </c>
      <c r="C44" s="10" t="inlineStr">
        <is>
          <t>KZN</t>
        </is>
      </c>
      <c r="D44" s="10" t="inlineStr">
        <is>
          <t>LTE Router</t>
        </is>
      </c>
      <c r="E44" s="10" t="inlineStr">
        <is>
          <t>Naledi Molefe</t>
        </is>
      </c>
      <c r="F44" s="8" t="n">
        <v>18</v>
      </c>
      <c r="G44" s="11" t="n">
        <v>1299</v>
      </c>
      <c r="H44" s="11">
        <f>F44*G44</f>
        <v/>
      </c>
    </row>
    <row r="45">
      <c r="A45" s="4" t="inlineStr">
        <is>
          <t>SO-5040</t>
        </is>
      </c>
      <c r="B45" s="5" t="n">
        <v>46229</v>
      </c>
      <c r="C45" s="6" t="inlineStr">
        <is>
          <t>Western Cape</t>
        </is>
      </c>
      <c r="D45" s="6" t="inlineStr">
        <is>
          <t>Cloud PBX</t>
        </is>
      </c>
      <c r="E45" s="6" t="inlineStr">
        <is>
          <t>Naledi Molefe</t>
        </is>
      </c>
      <c r="F45" s="4" t="n">
        <v>25</v>
      </c>
      <c r="G45" s="7" t="n">
        <v>1499</v>
      </c>
      <c r="H45" s="7">
        <f>F45*G45</f>
        <v/>
      </c>
    </row>
    <row r="46">
      <c r="A46" s="8" t="inlineStr">
        <is>
          <t>SO-5041</t>
        </is>
      </c>
      <c r="B46" s="9" t="n">
        <v>46199</v>
      </c>
      <c r="C46" s="10" t="inlineStr">
        <is>
          <t>Western Cape</t>
        </is>
      </c>
      <c r="D46" s="10" t="inlineStr">
        <is>
          <t>Voice Plan</t>
        </is>
      </c>
      <c r="E46" s="10" t="inlineStr">
        <is>
          <t>Ayanda Ndlovu</t>
        </is>
      </c>
      <c r="F46" s="8" t="n">
        <v>8</v>
      </c>
      <c r="G46" s="11" t="n">
        <v>199</v>
      </c>
      <c r="H46" s="11">
        <f>F46*G46</f>
        <v/>
      </c>
    </row>
    <row r="47">
      <c r="A47" s="4" t="inlineStr">
        <is>
          <t>SO-5042</t>
        </is>
      </c>
      <c r="B47" s="5" t="n">
        <v>46174</v>
      </c>
      <c r="C47" s="6" t="inlineStr">
        <is>
          <t>KZN</t>
        </is>
      </c>
      <c r="D47" s="6" t="inlineStr">
        <is>
          <t>LTE Router</t>
        </is>
      </c>
      <c r="E47" s="6" t="inlineStr">
        <is>
          <t>Ayanda Ndlovu</t>
        </is>
      </c>
      <c r="F47" s="4" t="n">
        <v>1</v>
      </c>
      <c r="G47" s="7" t="n">
        <v>1299</v>
      </c>
      <c r="H47" s="7">
        <f>F47*G47</f>
        <v/>
      </c>
    </row>
    <row r="48">
      <c r="A48" s="8" t="inlineStr">
        <is>
          <t>SO-5043</t>
        </is>
      </c>
      <c r="B48" s="9" t="n">
        <v>46076</v>
      </c>
      <c r="C48" s="10" t="inlineStr">
        <is>
          <t>KZN</t>
        </is>
      </c>
      <c r="D48" s="10" t="inlineStr">
        <is>
          <t>LTE Router</t>
        </is>
      </c>
      <c r="E48" s="10" t="inlineStr">
        <is>
          <t>Ayanda Ndlovu</t>
        </is>
      </c>
      <c r="F48" s="8" t="n">
        <v>20</v>
      </c>
      <c r="G48" s="11" t="n">
        <v>1299</v>
      </c>
      <c r="H48" s="11">
        <f>F48*G48</f>
        <v/>
      </c>
    </row>
    <row r="49">
      <c r="A49" s="4" t="inlineStr">
        <is>
          <t>SO-5044</t>
        </is>
      </c>
      <c r="B49" s="5" t="n">
        <v>46084</v>
      </c>
      <c r="C49" s="6" t="inlineStr">
        <is>
          <t>Gauteng</t>
        </is>
      </c>
      <c r="D49" s="6" t="inlineStr">
        <is>
          <t>LTE Router</t>
        </is>
      </c>
      <c r="E49" s="6" t="inlineStr">
        <is>
          <t>Naledi Molefe</t>
        </is>
      </c>
      <c r="F49" s="4" t="n">
        <v>8</v>
      </c>
      <c r="G49" s="7" t="n">
        <v>1299</v>
      </c>
      <c r="H49" s="7">
        <f>F49*G49</f>
        <v/>
      </c>
    </row>
    <row r="50">
      <c r="A50" s="8" t="inlineStr">
        <is>
          <t>SO-5045</t>
        </is>
      </c>
      <c r="B50" s="9" t="n">
        <v>46064</v>
      </c>
      <c r="C50" s="10" t="inlineStr">
        <is>
          <t>Eastern Cape</t>
        </is>
      </c>
      <c r="D50" s="10" t="inlineStr">
        <is>
          <t>Voice Plan</t>
        </is>
      </c>
      <c r="E50" s="10" t="inlineStr">
        <is>
          <t>Thabo Mokoena</t>
        </is>
      </c>
      <c r="F50" s="8" t="n">
        <v>7</v>
      </c>
      <c r="G50" s="11" t="n">
        <v>199</v>
      </c>
      <c r="H50" s="11">
        <f>F50*G50</f>
        <v/>
      </c>
    </row>
    <row r="51">
      <c r="A51" s="4" t="inlineStr">
        <is>
          <t>SO-5046</t>
        </is>
      </c>
      <c r="B51" s="5" t="n">
        <v>46185</v>
      </c>
      <c r="C51" s="6" t="inlineStr">
        <is>
          <t>Gauteng</t>
        </is>
      </c>
      <c r="D51" s="6" t="inlineStr">
        <is>
          <t>Voice Plan</t>
        </is>
      </c>
      <c r="E51" s="6" t="inlineStr">
        <is>
          <t>Lerato Nkosi</t>
        </is>
      </c>
      <c r="F51" s="4" t="n">
        <v>21</v>
      </c>
      <c r="G51" s="7" t="n">
        <v>199</v>
      </c>
      <c r="H51" s="7">
        <f>F51*G51</f>
        <v/>
      </c>
    </row>
    <row r="52">
      <c r="A52" s="8" t="inlineStr">
        <is>
          <t>SO-5047</t>
        </is>
      </c>
      <c r="B52" s="9" t="n">
        <v>46226</v>
      </c>
      <c r="C52" s="10" t="inlineStr">
        <is>
          <t>Western Cape</t>
        </is>
      </c>
      <c r="D52" s="10" t="inlineStr">
        <is>
          <t>Voice Plan</t>
        </is>
      </c>
      <c r="E52" s="10" t="inlineStr">
        <is>
          <t>Ayanda Ndlovu</t>
        </is>
      </c>
      <c r="F52" s="8" t="n">
        <v>25</v>
      </c>
      <c r="G52" s="11" t="n">
        <v>199</v>
      </c>
      <c r="H52" s="11">
        <f>F52*G52</f>
        <v/>
      </c>
    </row>
    <row r="53">
      <c r="A53" s="4" t="inlineStr">
        <is>
          <t>SO-5048</t>
        </is>
      </c>
      <c r="B53" s="5" t="n">
        <v>46138</v>
      </c>
      <c r="C53" s="6" t="inlineStr">
        <is>
          <t>KZN</t>
        </is>
      </c>
      <c r="D53" s="6" t="inlineStr">
        <is>
          <t>Fibre 100Mbps</t>
        </is>
      </c>
      <c r="E53" s="6" t="inlineStr">
        <is>
          <t>Lerato Nkosi</t>
        </is>
      </c>
      <c r="F53" s="4" t="n">
        <v>21</v>
      </c>
      <c r="G53" s="7" t="n">
        <v>899</v>
      </c>
      <c r="H53" s="7">
        <f>F53*G53</f>
        <v/>
      </c>
    </row>
    <row r="54">
      <c r="A54" s="8" t="inlineStr">
        <is>
          <t>SO-5049</t>
        </is>
      </c>
      <c r="B54" s="9" t="n">
        <v>46125</v>
      </c>
      <c r="C54" s="10" t="inlineStr">
        <is>
          <t>Gauteng</t>
        </is>
      </c>
      <c r="D54" s="10" t="inlineStr">
        <is>
          <t>Voice Plan</t>
        </is>
      </c>
      <c r="E54" s="10" t="inlineStr">
        <is>
          <t>Sipho Dlamini</t>
        </is>
      </c>
      <c r="F54" s="8" t="n">
        <v>24</v>
      </c>
      <c r="G54" s="11" t="n">
        <v>199</v>
      </c>
      <c r="H54" s="11">
        <f>F54*G54</f>
        <v/>
      </c>
    </row>
    <row r="55">
      <c r="A55" s="4" t="inlineStr">
        <is>
          <t>SO-5050</t>
        </is>
      </c>
      <c r="B55" s="5" t="n">
        <v>46054</v>
      </c>
      <c r="C55" s="6" t="inlineStr">
        <is>
          <t>Eastern Cape</t>
        </is>
      </c>
      <c r="D55" s="6" t="inlineStr">
        <is>
          <t>Fibre 100Mbps</t>
        </is>
      </c>
      <c r="E55" s="6" t="inlineStr">
        <is>
          <t>Sipho Dlamini</t>
        </is>
      </c>
      <c r="F55" s="4" t="n">
        <v>5</v>
      </c>
      <c r="G55" s="7" t="n">
        <v>899</v>
      </c>
      <c r="H55" s="7">
        <f>F55*G55</f>
        <v/>
      </c>
    </row>
    <row r="56">
      <c r="A56" s="8" t="inlineStr">
        <is>
          <t>SO-5051</t>
        </is>
      </c>
      <c r="B56" s="9" t="n">
        <v>46223</v>
      </c>
      <c r="C56" s="10" t="inlineStr">
        <is>
          <t>KZN</t>
        </is>
      </c>
      <c r="D56" s="10" t="inlineStr">
        <is>
          <t>Cloud PBX</t>
        </is>
      </c>
      <c r="E56" s="10" t="inlineStr">
        <is>
          <t>Sipho Dlamini</t>
        </is>
      </c>
      <c r="F56" s="8" t="n">
        <v>16</v>
      </c>
      <c r="G56" s="11" t="n">
        <v>1499</v>
      </c>
      <c r="H56" s="11">
        <f>F56*G56</f>
        <v/>
      </c>
    </row>
    <row r="57">
      <c r="A57" s="4" t="inlineStr">
        <is>
          <t>SO-5052</t>
        </is>
      </c>
      <c r="B57" s="5" t="n">
        <v>46147</v>
      </c>
      <c r="C57" s="6" t="inlineStr">
        <is>
          <t>Gauteng</t>
        </is>
      </c>
      <c r="D57" s="6" t="inlineStr">
        <is>
          <t>Cloud PBX</t>
        </is>
      </c>
      <c r="E57" s="6" t="inlineStr">
        <is>
          <t>Lerato Nkosi</t>
        </is>
      </c>
      <c r="F57" s="4" t="n">
        <v>1</v>
      </c>
      <c r="G57" s="7" t="n">
        <v>1499</v>
      </c>
      <c r="H57" s="7">
        <f>F57*G57</f>
        <v/>
      </c>
    </row>
    <row r="58">
      <c r="A58" s="8" t="inlineStr">
        <is>
          <t>SO-5053</t>
        </is>
      </c>
      <c r="B58" s="9" t="n">
        <v>46178</v>
      </c>
      <c r="C58" s="10" t="inlineStr">
        <is>
          <t>Western Cape</t>
        </is>
      </c>
      <c r="D58" s="10" t="inlineStr">
        <is>
          <t>Cloud PBX</t>
        </is>
      </c>
      <c r="E58" s="10" t="inlineStr">
        <is>
          <t>Naledi Molefe</t>
        </is>
      </c>
      <c r="F58" s="8" t="n">
        <v>14</v>
      </c>
      <c r="G58" s="11" t="n">
        <v>1499</v>
      </c>
      <c r="H58" s="11">
        <f>F58*G58</f>
        <v/>
      </c>
    </row>
    <row r="59">
      <c r="A59" s="4" t="inlineStr">
        <is>
          <t>SO-5054</t>
        </is>
      </c>
      <c r="B59" s="5" t="n">
        <v>46088</v>
      </c>
      <c r="C59" s="6" t="inlineStr">
        <is>
          <t>Western Cape</t>
        </is>
      </c>
      <c r="D59" s="6" t="inlineStr">
        <is>
          <t>Fibre 50Mbps</t>
        </is>
      </c>
      <c r="E59" s="6" t="inlineStr">
        <is>
          <t>Zanele Mahlangu</t>
        </is>
      </c>
      <c r="F59" s="4" t="n">
        <v>10</v>
      </c>
      <c r="G59" s="7" t="n">
        <v>599</v>
      </c>
      <c r="H59" s="7">
        <f>F59*G59</f>
        <v/>
      </c>
    </row>
    <row r="60">
      <c r="A60" s="8" t="inlineStr">
        <is>
          <t>SO-5055</t>
        </is>
      </c>
      <c r="B60" s="9" t="n">
        <v>46156</v>
      </c>
      <c r="C60" s="10" t="inlineStr">
        <is>
          <t>Gauteng</t>
        </is>
      </c>
      <c r="D60" s="10" t="inlineStr">
        <is>
          <t>LTE Router</t>
        </is>
      </c>
      <c r="E60" s="10" t="inlineStr">
        <is>
          <t>Zanele Mahlangu</t>
        </is>
      </c>
      <c r="F60" s="8" t="n">
        <v>5</v>
      </c>
      <c r="G60" s="11" t="n">
        <v>1299</v>
      </c>
      <c r="H60" s="11">
        <f>F60*G60</f>
        <v/>
      </c>
    </row>
    <row r="61">
      <c r="A61" s="4" t="inlineStr">
        <is>
          <t>SO-5056</t>
        </is>
      </c>
      <c r="B61" s="5" t="n">
        <v>46192</v>
      </c>
      <c r="C61" s="6" t="inlineStr">
        <is>
          <t>Eastern Cape</t>
        </is>
      </c>
      <c r="D61" s="6" t="inlineStr">
        <is>
          <t>Voice Plan</t>
        </is>
      </c>
      <c r="E61" s="6" t="inlineStr">
        <is>
          <t>Sipho Dlamini</t>
        </is>
      </c>
      <c r="F61" s="4" t="n">
        <v>17</v>
      </c>
      <c r="G61" s="7" t="n">
        <v>199</v>
      </c>
      <c r="H61" s="7">
        <f>F61*G61</f>
        <v/>
      </c>
    </row>
    <row r="62">
      <c r="A62" s="8" t="inlineStr">
        <is>
          <t>SO-5057</t>
        </is>
      </c>
      <c r="B62" s="9" t="n">
        <v>46070</v>
      </c>
      <c r="C62" s="10" t="inlineStr">
        <is>
          <t>Gauteng</t>
        </is>
      </c>
      <c r="D62" s="10" t="inlineStr">
        <is>
          <t>Cloud PBX</t>
        </is>
      </c>
      <c r="E62" s="10" t="inlineStr">
        <is>
          <t>Ayanda Ndlovu</t>
        </is>
      </c>
      <c r="F62" s="8" t="n">
        <v>17</v>
      </c>
      <c r="G62" s="11" t="n">
        <v>1499</v>
      </c>
      <c r="H62" s="11">
        <f>F62*G62</f>
        <v/>
      </c>
    </row>
    <row r="63">
      <c r="A63" s="4" t="inlineStr">
        <is>
          <t>SO-5058</t>
        </is>
      </c>
      <c r="B63" s="5" t="n">
        <v>46143</v>
      </c>
      <c r="C63" s="6" t="inlineStr">
        <is>
          <t>Western Cape</t>
        </is>
      </c>
      <c r="D63" s="6" t="inlineStr">
        <is>
          <t>Fibre 100Mbps</t>
        </is>
      </c>
      <c r="E63" s="6" t="inlineStr">
        <is>
          <t>Sipho Dlamini</t>
        </is>
      </c>
      <c r="F63" s="4" t="n">
        <v>25</v>
      </c>
      <c r="G63" s="7" t="n">
        <v>899</v>
      </c>
      <c r="H63" s="7">
        <f>F63*G63</f>
        <v/>
      </c>
    </row>
    <row r="64">
      <c r="A64" s="8" t="inlineStr">
        <is>
          <t>SO-5059</t>
        </is>
      </c>
      <c r="B64" s="9" t="n">
        <v>46132</v>
      </c>
      <c r="C64" s="10" t="inlineStr">
        <is>
          <t>Gauteng</t>
        </is>
      </c>
      <c r="D64" s="10" t="inlineStr">
        <is>
          <t>Fibre 100Mbps</t>
        </is>
      </c>
      <c r="E64" s="10" t="inlineStr">
        <is>
          <t>Thabo Mokoena</t>
        </is>
      </c>
      <c r="F64" s="8" t="n">
        <v>24</v>
      </c>
      <c r="G64" s="11" t="n">
        <v>899</v>
      </c>
      <c r="H64" s="11">
        <f>F64*G64</f>
        <v/>
      </c>
    </row>
    <row r="65">
      <c r="A65" s="4" t="inlineStr">
        <is>
          <t>SO-5060</t>
        </is>
      </c>
      <c r="B65" s="5" t="n">
        <v>46190</v>
      </c>
      <c r="C65" s="6" t="inlineStr">
        <is>
          <t>Eastern Cape</t>
        </is>
      </c>
      <c r="D65" s="6" t="inlineStr">
        <is>
          <t>LTE Router</t>
        </is>
      </c>
      <c r="E65" s="6" t="inlineStr">
        <is>
          <t>Lerato Nkosi</t>
        </is>
      </c>
      <c r="F65" s="4" t="n">
        <v>17</v>
      </c>
      <c r="G65" s="7" t="n">
        <v>1299</v>
      </c>
      <c r="H65" s="7">
        <f>F65*G65</f>
        <v/>
      </c>
    </row>
    <row r="66">
      <c r="A66" s="8" t="inlineStr">
        <is>
          <t>SO-5061</t>
        </is>
      </c>
      <c r="B66" s="9" t="n">
        <v>46030</v>
      </c>
      <c r="C66" s="10" t="inlineStr">
        <is>
          <t>KZN</t>
        </is>
      </c>
      <c r="D66" s="10" t="inlineStr">
        <is>
          <t>Cloud PBX</t>
        </is>
      </c>
      <c r="E66" s="10" t="inlineStr">
        <is>
          <t>Thabo Mokoena</t>
        </is>
      </c>
      <c r="F66" s="8" t="n">
        <v>7</v>
      </c>
      <c r="G66" s="11" t="n">
        <v>1499</v>
      </c>
      <c r="H66" s="11">
        <f>F66*G66</f>
        <v/>
      </c>
    </row>
    <row r="67">
      <c r="A67" s="4" t="inlineStr">
        <is>
          <t>SO-5062</t>
        </is>
      </c>
      <c r="B67" s="5" t="n">
        <v>46157</v>
      </c>
      <c r="C67" s="6" t="inlineStr">
        <is>
          <t>Gauteng</t>
        </is>
      </c>
      <c r="D67" s="6" t="inlineStr">
        <is>
          <t>Fibre 50Mbps</t>
        </is>
      </c>
      <c r="E67" s="6" t="inlineStr">
        <is>
          <t>Lerato Nkosi</t>
        </is>
      </c>
      <c r="F67" s="4" t="n">
        <v>18</v>
      </c>
      <c r="G67" s="7" t="n">
        <v>599</v>
      </c>
      <c r="H67" s="7">
        <f>F67*G67</f>
        <v/>
      </c>
    </row>
    <row r="68">
      <c r="A68" s="8" t="inlineStr">
        <is>
          <t>SO-5063</t>
        </is>
      </c>
      <c r="B68" s="9" t="n">
        <v>46101</v>
      </c>
      <c r="C68" s="10" t="inlineStr">
        <is>
          <t>Western Cape</t>
        </is>
      </c>
      <c r="D68" s="10" t="inlineStr">
        <is>
          <t>Voice Plan</t>
        </is>
      </c>
      <c r="E68" s="10" t="inlineStr">
        <is>
          <t>Kagiso Khumalo</t>
        </is>
      </c>
      <c r="F68" s="8" t="n">
        <v>17</v>
      </c>
      <c r="G68" s="11" t="n">
        <v>199</v>
      </c>
      <c r="H68" s="11">
        <f>F68*G68</f>
        <v/>
      </c>
    </row>
    <row r="69">
      <c r="A69" s="4" t="inlineStr">
        <is>
          <t>SO-5064</t>
        </is>
      </c>
      <c r="B69" s="5" t="n">
        <v>46160</v>
      </c>
      <c r="C69" s="6" t="inlineStr">
        <is>
          <t>Western Cape</t>
        </is>
      </c>
      <c r="D69" s="6" t="inlineStr">
        <is>
          <t>Voice Plan</t>
        </is>
      </c>
      <c r="E69" s="6" t="inlineStr">
        <is>
          <t>Kagiso Khumalo</t>
        </is>
      </c>
      <c r="F69" s="4" t="n">
        <v>16</v>
      </c>
      <c r="G69" s="7" t="n">
        <v>199</v>
      </c>
      <c r="H69" s="7">
        <f>F69*G69</f>
        <v/>
      </c>
    </row>
    <row r="70">
      <c r="A70" s="8" t="inlineStr">
        <is>
          <t>SO-5065</t>
        </is>
      </c>
      <c r="B70" s="9" t="n">
        <v>46080</v>
      </c>
      <c r="C70" s="10" t="inlineStr">
        <is>
          <t>Western Cape</t>
        </is>
      </c>
      <c r="D70" s="10" t="inlineStr">
        <is>
          <t>Cloud PBX</t>
        </is>
      </c>
      <c r="E70" s="10" t="inlineStr">
        <is>
          <t>Tumelo Sithole</t>
        </is>
      </c>
      <c r="F70" s="8" t="n">
        <v>15</v>
      </c>
      <c r="G70" s="11" t="n">
        <v>1499</v>
      </c>
      <c r="H70" s="11">
        <f>F70*G70</f>
        <v/>
      </c>
    </row>
    <row r="71">
      <c r="A71" s="4" t="inlineStr">
        <is>
          <t>SO-5066</t>
        </is>
      </c>
      <c r="B71" s="5" t="n">
        <v>46127</v>
      </c>
      <c r="C71" s="6" t="inlineStr">
        <is>
          <t>Gauteng</t>
        </is>
      </c>
      <c r="D71" s="6" t="inlineStr">
        <is>
          <t>Fibre 50Mbps</t>
        </is>
      </c>
      <c r="E71" s="6" t="inlineStr">
        <is>
          <t>Naledi Molefe</t>
        </is>
      </c>
      <c r="F71" s="4" t="n">
        <v>11</v>
      </c>
      <c r="G71" s="7" t="n">
        <v>599</v>
      </c>
      <c r="H71" s="7">
        <f>F71*G71</f>
        <v/>
      </c>
    </row>
    <row r="72">
      <c r="A72" s="8" t="inlineStr">
        <is>
          <t>SO-5067</t>
        </is>
      </c>
      <c r="B72" s="9" t="n">
        <v>46029</v>
      </c>
      <c r="C72" s="10" t="inlineStr">
        <is>
          <t>KZN</t>
        </is>
      </c>
      <c r="D72" s="10" t="inlineStr">
        <is>
          <t>Voice Plan</t>
        </is>
      </c>
      <c r="E72" s="10" t="inlineStr">
        <is>
          <t>Lerato Nkosi</t>
        </is>
      </c>
      <c r="F72" s="8" t="n">
        <v>22</v>
      </c>
      <c r="G72" s="11" t="n">
        <v>199</v>
      </c>
      <c r="H72" s="11">
        <f>F72*G72</f>
        <v/>
      </c>
    </row>
    <row r="73">
      <c r="A73" s="4" t="inlineStr">
        <is>
          <t>SO-5068</t>
        </is>
      </c>
      <c r="B73" s="5" t="n">
        <v>46194</v>
      </c>
      <c r="C73" s="6" t="inlineStr">
        <is>
          <t>KZN</t>
        </is>
      </c>
      <c r="D73" s="6" t="inlineStr">
        <is>
          <t>Fibre 100Mbps</t>
        </is>
      </c>
      <c r="E73" s="6" t="inlineStr">
        <is>
          <t>Sipho Dlamini</t>
        </is>
      </c>
      <c r="F73" s="4" t="n">
        <v>22</v>
      </c>
      <c r="G73" s="7" t="n">
        <v>899</v>
      </c>
      <c r="H73" s="7">
        <f>F73*G73</f>
        <v/>
      </c>
    </row>
    <row r="74">
      <c r="A74" s="8" t="inlineStr">
        <is>
          <t>SO-5069</t>
        </is>
      </c>
      <c r="B74" s="9" t="n">
        <v>46068</v>
      </c>
      <c r="C74" s="10" t="inlineStr">
        <is>
          <t>Gauteng</t>
        </is>
      </c>
      <c r="D74" s="10" t="inlineStr">
        <is>
          <t>LTE Router</t>
        </is>
      </c>
      <c r="E74" s="10" t="inlineStr">
        <is>
          <t>Tumelo Sithole</t>
        </is>
      </c>
      <c r="F74" s="8" t="n">
        <v>8</v>
      </c>
      <c r="G74" s="11" t="n">
        <v>1299</v>
      </c>
      <c r="H74" s="11">
        <f>F74*G74</f>
        <v/>
      </c>
    </row>
    <row r="75">
      <c r="A75" s="4" t="inlineStr">
        <is>
          <t>SO-5070</t>
        </is>
      </c>
      <c r="B75" s="5" t="n">
        <v>46075</v>
      </c>
      <c r="C75" s="6" t="inlineStr">
        <is>
          <t>Western Cape</t>
        </is>
      </c>
      <c r="D75" s="6" t="inlineStr">
        <is>
          <t>Voice Plan</t>
        </is>
      </c>
      <c r="E75" s="6" t="inlineStr">
        <is>
          <t>Tumelo Sithole</t>
        </is>
      </c>
      <c r="F75" s="4" t="n">
        <v>8</v>
      </c>
      <c r="G75" s="7" t="n">
        <v>199</v>
      </c>
      <c r="H75" s="7">
        <f>F75*G75</f>
        <v/>
      </c>
    </row>
    <row r="76">
      <c r="A76" s="8" t="inlineStr">
        <is>
          <t>SO-5071</t>
        </is>
      </c>
      <c r="B76" s="9" t="n">
        <v>46123</v>
      </c>
      <c r="C76" s="10" t="inlineStr">
        <is>
          <t>Western Cape</t>
        </is>
      </c>
      <c r="D76" s="10" t="inlineStr">
        <is>
          <t>Cloud PBX</t>
        </is>
      </c>
      <c r="E76" s="10" t="inlineStr">
        <is>
          <t>Zanele Mahlangu</t>
        </is>
      </c>
      <c r="F76" s="8" t="n">
        <v>14</v>
      </c>
      <c r="G76" s="11" t="n">
        <v>1499</v>
      </c>
      <c r="H76" s="11">
        <f>F76*G76</f>
        <v/>
      </c>
    </row>
    <row r="77">
      <c r="A77" s="4" t="inlineStr">
        <is>
          <t>SO-5072</t>
        </is>
      </c>
      <c r="B77" s="5" t="n">
        <v>46046</v>
      </c>
      <c r="C77" s="6" t="inlineStr">
        <is>
          <t>Gauteng</t>
        </is>
      </c>
      <c r="D77" s="6" t="inlineStr">
        <is>
          <t>LTE Router</t>
        </is>
      </c>
      <c r="E77" s="6" t="inlineStr">
        <is>
          <t>Zanele Mahlangu</t>
        </is>
      </c>
      <c r="F77" s="4" t="n">
        <v>12</v>
      </c>
      <c r="G77" s="7" t="n">
        <v>1299</v>
      </c>
      <c r="H77" s="7">
        <f>F77*G77</f>
        <v/>
      </c>
    </row>
    <row r="78">
      <c r="A78" s="8" t="inlineStr">
        <is>
          <t>SO-5073</t>
        </is>
      </c>
      <c r="B78" s="9" t="n">
        <v>46127</v>
      </c>
      <c r="C78" s="10" t="inlineStr">
        <is>
          <t>Gauteng</t>
        </is>
      </c>
      <c r="D78" s="10" t="inlineStr">
        <is>
          <t>Cloud PBX</t>
        </is>
      </c>
      <c r="E78" s="10" t="inlineStr">
        <is>
          <t>Tumelo Sithole</t>
        </is>
      </c>
      <c r="F78" s="8" t="n">
        <v>23</v>
      </c>
      <c r="G78" s="11" t="n">
        <v>1499</v>
      </c>
      <c r="H78" s="11">
        <f>F78*G78</f>
        <v/>
      </c>
    </row>
    <row r="79">
      <c r="A79" s="4" t="inlineStr">
        <is>
          <t>SO-5074</t>
        </is>
      </c>
      <c r="B79" s="5" t="n">
        <v>46162</v>
      </c>
      <c r="C79" s="6" t="inlineStr">
        <is>
          <t>Gauteng</t>
        </is>
      </c>
      <c r="D79" s="6" t="inlineStr">
        <is>
          <t>LTE Router</t>
        </is>
      </c>
      <c r="E79" s="6" t="inlineStr">
        <is>
          <t>Lerato Nkosi</t>
        </is>
      </c>
      <c r="F79" s="4" t="n">
        <v>10</v>
      </c>
      <c r="G79" s="7" t="n">
        <v>1299</v>
      </c>
      <c r="H79" s="7">
        <f>F79*G79</f>
        <v/>
      </c>
    </row>
    <row r="80">
      <c r="A80" s="8" t="inlineStr">
        <is>
          <t>SO-5075</t>
        </is>
      </c>
      <c r="B80" s="9" t="n">
        <v>46025</v>
      </c>
      <c r="C80" s="10" t="inlineStr">
        <is>
          <t>KZN</t>
        </is>
      </c>
      <c r="D80" s="10" t="inlineStr">
        <is>
          <t>Fibre 100Mbps</t>
        </is>
      </c>
      <c r="E80" s="10" t="inlineStr">
        <is>
          <t>Thabo Mokoena</t>
        </is>
      </c>
      <c r="F80" s="8" t="n">
        <v>9</v>
      </c>
      <c r="G80" s="11" t="n">
        <v>899</v>
      </c>
      <c r="H80" s="11">
        <f>F80*G80</f>
        <v/>
      </c>
    </row>
    <row r="81">
      <c r="A81" s="4" t="inlineStr">
        <is>
          <t>SO-5076</t>
        </is>
      </c>
      <c r="B81" s="5" t="n">
        <v>46106</v>
      </c>
      <c r="C81" s="6" t="inlineStr">
        <is>
          <t>Eastern Cape</t>
        </is>
      </c>
      <c r="D81" s="6" t="inlineStr">
        <is>
          <t>Fibre 100Mbps</t>
        </is>
      </c>
      <c r="E81" s="6" t="inlineStr">
        <is>
          <t>Kagiso Khumalo</t>
        </is>
      </c>
      <c r="F81" s="4" t="n">
        <v>5</v>
      </c>
      <c r="G81" s="7" t="n">
        <v>899</v>
      </c>
      <c r="H81" s="7">
        <f>F81*G81</f>
        <v/>
      </c>
    </row>
    <row r="82">
      <c r="A82" s="8" t="inlineStr">
        <is>
          <t>SO-5077</t>
        </is>
      </c>
      <c r="B82" s="9" t="n">
        <v>46071</v>
      </c>
      <c r="C82" s="10" t="inlineStr">
        <is>
          <t>Eastern Cape</t>
        </is>
      </c>
      <c r="D82" s="10" t="inlineStr">
        <is>
          <t>Voice Plan</t>
        </is>
      </c>
      <c r="E82" s="10" t="inlineStr">
        <is>
          <t>Zanele Mahlangu</t>
        </is>
      </c>
      <c r="F82" s="8" t="n">
        <v>17</v>
      </c>
      <c r="G82" s="11" t="n">
        <v>199</v>
      </c>
      <c r="H82" s="11">
        <f>F82*G82</f>
        <v/>
      </c>
    </row>
    <row r="83">
      <c r="A83" s="4" t="inlineStr">
        <is>
          <t>SO-5078</t>
        </is>
      </c>
      <c r="B83" s="5" t="n">
        <v>46083</v>
      </c>
      <c r="C83" s="6" t="inlineStr">
        <is>
          <t>Western Cape</t>
        </is>
      </c>
      <c r="D83" s="6" t="inlineStr">
        <is>
          <t>Fibre 50Mbps</t>
        </is>
      </c>
      <c r="E83" s="6" t="inlineStr">
        <is>
          <t>Tumelo Sithole</t>
        </is>
      </c>
      <c r="F83" s="4" t="n">
        <v>23</v>
      </c>
      <c r="G83" s="7" t="n">
        <v>599</v>
      </c>
      <c r="H83" s="7">
        <f>F83*G83</f>
        <v/>
      </c>
    </row>
    <row r="84">
      <c r="A84" s="8" t="inlineStr">
        <is>
          <t>SO-5079</t>
        </is>
      </c>
      <c r="B84" s="9" t="n">
        <v>46082</v>
      </c>
      <c r="C84" s="10" t="inlineStr">
        <is>
          <t>Gauteng</t>
        </is>
      </c>
      <c r="D84" s="10" t="inlineStr">
        <is>
          <t>Fibre 50Mbps</t>
        </is>
      </c>
      <c r="E84" s="10" t="inlineStr">
        <is>
          <t>Kagiso Khumalo</t>
        </is>
      </c>
      <c r="F84" s="8" t="n">
        <v>21</v>
      </c>
      <c r="G84" s="11" t="n">
        <v>599</v>
      </c>
      <c r="H84" s="11">
        <f>F84*G84</f>
        <v/>
      </c>
    </row>
    <row r="85">
      <c r="A85" s="4" t="inlineStr">
        <is>
          <t>SO-5080</t>
        </is>
      </c>
      <c r="B85" s="5" t="n">
        <v>46170</v>
      </c>
      <c r="C85" s="6" t="inlineStr">
        <is>
          <t>Gauteng</t>
        </is>
      </c>
      <c r="D85" s="6" t="inlineStr">
        <is>
          <t>Fibre 50Mbps</t>
        </is>
      </c>
      <c r="E85" s="6" t="inlineStr">
        <is>
          <t>Kagiso Khumalo</t>
        </is>
      </c>
      <c r="F85" s="4" t="n">
        <v>8</v>
      </c>
      <c r="G85" s="7" t="n">
        <v>599</v>
      </c>
      <c r="H85" s="7">
        <f>F85*G85</f>
        <v/>
      </c>
    </row>
    <row r="86">
      <c r="A86" s="8" t="inlineStr">
        <is>
          <t>SO-5081</t>
        </is>
      </c>
      <c r="B86" s="9" t="n">
        <v>46113</v>
      </c>
      <c r="C86" s="10" t="inlineStr">
        <is>
          <t>Eastern Cape</t>
        </is>
      </c>
      <c r="D86" s="10" t="inlineStr">
        <is>
          <t>Fibre 50Mbps</t>
        </is>
      </c>
      <c r="E86" s="10" t="inlineStr">
        <is>
          <t>Kagiso Khumalo</t>
        </is>
      </c>
      <c r="F86" s="8" t="n">
        <v>11</v>
      </c>
      <c r="G86" s="11" t="n">
        <v>599</v>
      </c>
      <c r="H86" s="11">
        <f>F86*G86</f>
        <v/>
      </c>
    </row>
    <row r="87">
      <c r="A87" s="4" t="inlineStr">
        <is>
          <t>SO-5082</t>
        </is>
      </c>
      <c r="B87" s="5" t="n">
        <v>46055</v>
      </c>
      <c r="C87" s="6" t="inlineStr">
        <is>
          <t>Western Cape</t>
        </is>
      </c>
      <c r="D87" s="6" t="inlineStr">
        <is>
          <t>Cloud PBX</t>
        </is>
      </c>
      <c r="E87" s="6" t="inlineStr">
        <is>
          <t>Lerato Nkosi</t>
        </is>
      </c>
      <c r="F87" s="4" t="n">
        <v>17</v>
      </c>
      <c r="G87" s="7" t="n">
        <v>1499</v>
      </c>
      <c r="H87" s="7">
        <f>F87*G87</f>
        <v/>
      </c>
    </row>
    <row r="88">
      <c r="A88" s="8" t="inlineStr">
        <is>
          <t>SO-5083</t>
        </is>
      </c>
      <c r="B88" s="9" t="n">
        <v>46083</v>
      </c>
      <c r="C88" s="10" t="inlineStr">
        <is>
          <t>Western Cape</t>
        </is>
      </c>
      <c r="D88" s="10" t="inlineStr">
        <is>
          <t>Fibre 100Mbps</t>
        </is>
      </c>
      <c r="E88" s="10" t="inlineStr">
        <is>
          <t>Kagiso Khumalo</t>
        </is>
      </c>
      <c r="F88" s="8" t="n">
        <v>6</v>
      </c>
      <c r="G88" s="11" t="n">
        <v>899</v>
      </c>
      <c r="H88" s="11">
        <f>F88*G88</f>
        <v/>
      </c>
    </row>
    <row r="89">
      <c r="A89" s="4" t="inlineStr">
        <is>
          <t>SO-5084</t>
        </is>
      </c>
      <c r="B89" s="5" t="n">
        <v>46167</v>
      </c>
      <c r="C89" s="6" t="inlineStr">
        <is>
          <t>KZN</t>
        </is>
      </c>
      <c r="D89" s="6" t="inlineStr">
        <is>
          <t>LTE Router</t>
        </is>
      </c>
      <c r="E89" s="6" t="inlineStr">
        <is>
          <t>Ayanda Ndlovu</t>
        </is>
      </c>
      <c r="F89" s="4" t="n">
        <v>7</v>
      </c>
      <c r="G89" s="7" t="n">
        <v>1299</v>
      </c>
      <c r="H89" s="7">
        <f>F89*G89</f>
        <v/>
      </c>
    </row>
    <row r="90">
      <c r="A90" s="8" t="inlineStr">
        <is>
          <t>SO-5085</t>
        </is>
      </c>
      <c r="B90" s="9" t="n">
        <v>46179</v>
      </c>
      <c r="C90" s="10" t="inlineStr">
        <is>
          <t>KZN</t>
        </is>
      </c>
      <c r="D90" s="10" t="inlineStr">
        <is>
          <t>Cloud PBX</t>
        </is>
      </c>
      <c r="E90" s="10" t="inlineStr">
        <is>
          <t>Thabo Mokoena</t>
        </is>
      </c>
      <c r="F90" s="8" t="n">
        <v>9</v>
      </c>
      <c r="G90" s="11" t="n">
        <v>1499</v>
      </c>
      <c r="H90" s="11">
        <f>F90*G90</f>
        <v/>
      </c>
    </row>
    <row r="91">
      <c r="A91" s="4" t="inlineStr">
        <is>
          <t>SO-5086</t>
        </is>
      </c>
      <c r="B91" s="5" t="n">
        <v>46023</v>
      </c>
      <c r="C91" s="6" t="inlineStr">
        <is>
          <t>Western Cape</t>
        </is>
      </c>
      <c r="D91" s="6" t="inlineStr">
        <is>
          <t>LTE Router</t>
        </is>
      </c>
      <c r="E91" s="6" t="inlineStr">
        <is>
          <t>Ayanda Ndlovu</t>
        </is>
      </c>
      <c r="F91" s="4" t="n">
        <v>1</v>
      </c>
      <c r="G91" s="7" t="n">
        <v>1299</v>
      </c>
      <c r="H91" s="7">
        <f>F91*G91</f>
        <v/>
      </c>
    </row>
    <row r="92">
      <c r="A92" s="8" t="inlineStr">
        <is>
          <t>SO-5087</t>
        </is>
      </c>
      <c r="B92" s="9" t="n">
        <v>46116</v>
      </c>
      <c r="C92" s="10" t="inlineStr">
        <is>
          <t>Eastern Cape</t>
        </is>
      </c>
      <c r="D92" s="10" t="inlineStr">
        <is>
          <t>Fibre 100Mbps</t>
        </is>
      </c>
      <c r="E92" s="10" t="inlineStr">
        <is>
          <t>Ayanda Ndlovu</t>
        </is>
      </c>
      <c r="F92" s="8" t="n">
        <v>22</v>
      </c>
      <c r="G92" s="11" t="n">
        <v>899</v>
      </c>
      <c r="H92" s="11">
        <f>F92*G92</f>
        <v/>
      </c>
    </row>
    <row r="93">
      <c r="A93" s="4" t="inlineStr">
        <is>
          <t>SO-5088</t>
        </is>
      </c>
      <c r="B93" s="5" t="n">
        <v>46216</v>
      </c>
      <c r="C93" s="6" t="inlineStr">
        <is>
          <t>KZN</t>
        </is>
      </c>
      <c r="D93" s="6" t="inlineStr">
        <is>
          <t>Cloud PBX</t>
        </is>
      </c>
      <c r="E93" s="6" t="inlineStr">
        <is>
          <t>Naledi Molefe</t>
        </is>
      </c>
      <c r="F93" s="4" t="n">
        <v>17</v>
      </c>
      <c r="G93" s="7" t="n">
        <v>1499</v>
      </c>
      <c r="H93" s="7">
        <f>F93*G93</f>
        <v/>
      </c>
    </row>
    <row r="94">
      <c r="A94" s="8" t="inlineStr">
        <is>
          <t>SO-5089</t>
        </is>
      </c>
      <c r="B94" s="9" t="n">
        <v>46088</v>
      </c>
      <c r="C94" s="10" t="inlineStr">
        <is>
          <t>Western Cape</t>
        </is>
      </c>
      <c r="D94" s="10" t="inlineStr">
        <is>
          <t>Fibre 100Mbps</t>
        </is>
      </c>
      <c r="E94" s="10" t="inlineStr">
        <is>
          <t>Tumelo Sithole</t>
        </is>
      </c>
      <c r="F94" s="8" t="n">
        <v>23</v>
      </c>
      <c r="G94" s="11" t="n">
        <v>899</v>
      </c>
      <c r="H94" s="11">
        <f>F94*G94</f>
        <v/>
      </c>
    </row>
    <row r="95">
      <c r="A95" s="4" t="inlineStr">
        <is>
          <t>SO-5090</t>
        </is>
      </c>
      <c r="B95" s="5" t="n">
        <v>46049</v>
      </c>
      <c r="C95" s="6" t="inlineStr">
        <is>
          <t>Gauteng</t>
        </is>
      </c>
      <c r="D95" s="6" t="inlineStr">
        <is>
          <t>LTE Router</t>
        </is>
      </c>
      <c r="E95" s="6" t="inlineStr">
        <is>
          <t>Lerato Nkosi</t>
        </is>
      </c>
      <c r="F95" s="4" t="n">
        <v>5</v>
      </c>
      <c r="G95" s="7" t="n">
        <v>1299</v>
      </c>
      <c r="H95" s="7">
        <f>F95*G95</f>
        <v/>
      </c>
    </row>
    <row r="96">
      <c r="A96" s="8" t="inlineStr">
        <is>
          <t>SO-5091</t>
        </is>
      </c>
      <c r="B96" s="9" t="n">
        <v>46118</v>
      </c>
      <c r="C96" s="10" t="inlineStr">
        <is>
          <t>Gauteng</t>
        </is>
      </c>
      <c r="D96" s="10" t="inlineStr">
        <is>
          <t>LTE Router</t>
        </is>
      </c>
      <c r="E96" s="10" t="inlineStr">
        <is>
          <t>Tumelo Sithole</t>
        </is>
      </c>
      <c r="F96" s="8" t="n">
        <v>2</v>
      </c>
      <c r="G96" s="11" t="n">
        <v>1299</v>
      </c>
      <c r="H96" s="11">
        <f>F96*G96</f>
        <v/>
      </c>
    </row>
    <row r="97">
      <c r="A97" s="4" t="inlineStr">
        <is>
          <t>SO-5092</t>
        </is>
      </c>
      <c r="B97" s="5" t="n">
        <v>46183</v>
      </c>
      <c r="C97" s="6" t="inlineStr">
        <is>
          <t>Western Cape</t>
        </is>
      </c>
      <c r="D97" s="6" t="inlineStr">
        <is>
          <t>Cloud PBX</t>
        </is>
      </c>
      <c r="E97" s="6" t="inlineStr">
        <is>
          <t>Kagiso Khumalo</t>
        </is>
      </c>
      <c r="F97" s="4" t="n">
        <v>20</v>
      </c>
      <c r="G97" s="7" t="n">
        <v>1499</v>
      </c>
      <c r="H97" s="7">
        <f>F97*G97</f>
        <v/>
      </c>
    </row>
    <row r="98">
      <c r="A98" s="8" t="inlineStr">
        <is>
          <t>SO-5093</t>
        </is>
      </c>
      <c r="B98" s="9" t="n">
        <v>46118</v>
      </c>
      <c r="C98" s="10" t="inlineStr">
        <is>
          <t>KZN</t>
        </is>
      </c>
      <c r="D98" s="10" t="inlineStr">
        <is>
          <t>Fibre 50Mbps</t>
        </is>
      </c>
      <c r="E98" s="10" t="inlineStr">
        <is>
          <t>Ayanda Ndlovu</t>
        </is>
      </c>
      <c r="F98" s="8" t="n">
        <v>6</v>
      </c>
      <c r="G98" s="11" t="n">
        <v>599</v>
      </c>
      <c r="H98" s="11">
        <f>F98*G98</f>
        <v/>
      </c>
    </row>
    <row r="99">
      <c r="A99" s="4" t="inlineStr">
        <is>
          <t>SO-5094</t>
        </is>
      </c>
      <c r="B99" s="5" t="n">
        <v>46093</v>
      </c>
      <c r="C99" s="6" t="inlineStr">
        <is>
          <t>KZN</t>
        </is>
      </c>
      <c r="D99" s="6" t="inlineStr">
        <is>
          <t>Fibre 50Mbps</t>
        </is>
      </c>
      <c r="E99" s="6" t="inlineStr">
        <is>
          <t>Naledi Molefe</t>
        </is>
      </c>
      <c r="F99" s="4" t="n">
        <v>11</v>
      </c>
      <c r="G99" s="7" t="n">
        <v>599</v>
      </c>
      <c r="H99" s="7">
        <f>F99*G99</f>
        <v/>
      </c>
    </row>
    <row r="100">
      <c r="A100" s="8" t="inlineStr">
        <is>
          <t>SO-5095</t>
        </is>
      </c>
      <c r="B100" s="9" t="n">
        <v>46088</v>
      </c>
      <c r="C100" s="10" t="inlineStr">
        <is>
          <t>Western Cape</t>
        </is>
      </c>
      <c r="D100" s="10" t="inlineStr">
        <is>
          <t>Fibre 50Mbps</t>
        </is>
      </c>
      <c r="E100" s="10" t="inlineStr">
        <is>
          <t>Thabo Mokoena</t>
        </is>
      </c>
      <c r="F100" s="8" t="n">
        <v>12</v>
      </c>
      <c r="G100" s="11" t="n">
        <v>599</v>
      </c>
      <c r="H100" s="11">
        <f>F100*G100</f>
        <v/>
      </c>
    </row>
    <row r="101">
      <c r="A101" s="4" t="inlineStr">
        <is>
          <t>SO-5096</t>
        </is>
      </c>
      <c r="B101" s="5" t="n">
        <v>46115</v>
      </c>
      <c r="C101" s="6" t="inlineStr">
        <is>
          <t>KZN</t>
        </is>
      </c>
      <c r="D101" s="6" t="inlineStr">
        <is>
          <t>LTE Router</t>
        </is>
      </c>
      <c r="E101" s="6" t="inlineStr">
        <is>
          <t>Naledi Molefe</t>
        </is>
      </c>
      <c r="F101" s="4" t="n">
        <v>16</v>
      </c>
      <c r="G101" s="7" t="n">
        <v>1299</v>
      </c>
      <c r="H101" s="7">
        <f>F101*G101</f>
        <v/>
      </c>
    </row>
    <row r="102">
      <c r="A102" s="8" t="inlineStr">
        <is>
          <t>SO-5097</t>
        </is>
      </c>
      <c r="B102" s="9" t="n">
        <v>46167</v>
      </c>
      <c r="C102" s="10" t="inlineStr">
        <is>
          <t>Gauteng</t>
        </is>
      </c>
      <c r="D102" s="10" t="inlineStr">
        <is>
          <t>Fibre 100Mbps</t>
        </is>
      </c>
      <c r="E102" s="10" t="inlineStr">
        <is>
          <t>Kagiso Khumalo</t>
        </is>
      </c>
      <c r="F102" s="8" t="n">
        <v>1</v>
      </c>
      <c r="G102" s="11" t="n">
        <v>899</v>
      </c>
      <c r="H102" s="11">
        <f>F102*G102</f>
        <v/>
      </c>
    </row>
    <row r="103">
      <c r="A103" s="4" t="inlineStr">
        <is>
          <t>SO-5098</t>
        </is>
      </c>
      <c r="B103" s="5" t="n">
        <v>46066</v>
      </c>
      <c r="C103" s="6" t="inlineStr">
        <is>
          <t>Gauteng</t>
        </is>
      </c>
      <c r="D103" s="6" t="inlineStr">
        <is>
          <t>Fibre 50Mbps</t>
        </is>
      </c>
      <c r="E103" s="6" t="inlineStr">
        <is>
          <t>Tumelo Sithole</t>
        </is>
      </c>
      <c r="F103" s="4" t="n">
        <v>19</v>
      </c>
      <c r="G103" s="7" t="n">
        <v>599</v>
      </c>
      <c r="H103" s="7">
        <f>F103*G103</f>
        <v/>
      </c>
    </row>
    <row r="104">
      <c r="A104" s="8" t="inlineStr">
        <is>
          <t>SO-5099</t>
        </is>
      </c>
      <c r="B104" s="9" t="n">
        <v>46091</v>
      </c>
      <c r="C104" s="10" t="inlineStr">
        <is>
          <t>Western Cape</t>
        </is>
      </c>
      <c r="D104" s="10" t="inlineStr">
        <is>
          <t>Fibre 50Mbps</t>
        </is>
      </c>
      <c r="E104" s="10" t="inlineStr">
        <is>
          <t>Lerato Nkosi</t>
        </is>
      </c>
      <c r="F104" s="8" t="n">
        <v>21</v>
      </c>
      <c r="G104" s="11" t="n">
        <v>599</v>
      </c>
      <c r="H104" s="11">
        <f>F104*G104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0" customWidth="1" min="4" max="4"/>
    <col width="3" customWidth="1" min="5" max="5"/>
    <col width="16" customWidth="1" min="6" max="6"/>
    <col width="14" customWidth="1" min="7" max="7"/>
  </cols>
  <sheetData>
    <row r="1" ht="30" customHeight="1">
      <c r="A1" s="1" t="inlineStr">
        <is>
          <t>Sales Query Report — Dynamic Summaries</t>
        </is>
      </c>
    </row>
    <row r="2">
      <c r="A2" s="2" t="inlineStr">
        <is>
          <t>Every figure is a live SUMIFS / INDEX-MATCH query against the Transactions tab</t>
        </is>
      </c>
    </row>
    <row r="4">
      <c r="A4" s="12" t="inlineStr">
        <is>
          <t>Total Revenue</t>
        </is>
      </c>
      <c r="B4" s="13">
        <f>SUM(Transactions!$H$5:$H$104)</f>
        <v/>
      </c>
    </row>
    <row r="5">
      <c r="A5" s="12" t="inlineStr">
        <is>
          <t>Total Units</t>
        </is>
      </c>
      <c r="B5" s="14">
        <f>SUM(Transactions!$F$5:$F$104)</f>
        <v/>
      </c>
    </row>
    <row r="6">
      <c r="A6" s="12" t="inlineStr">
        <is>
          <t>Total Orders</t>
        </is>
      </c>
      <c r="B6" s="14">
        <f>COUNTA(Transactions!$A$5:$A$104)</f>
        <v/>
      </c>
    </row>
    <row r="7">
      <c r="A7" s="12" t="inlineStr">
        <is>
          <t>Avg Order Value</t>
        </is>
      </c>
      <c r="B7" s="13">
        <f>B4/B6</f>
        <v/>
      </c>
    </row>
    <row r="10" ht="30" customHeight="1">
      <c r="A10" s="3" t="inlineStr">
        <is>
          <t>Region</t>
        </is>
      </c>
      <c r="B10" s="3" t="inlineStr">
        <is>
          <t>Revenue</t>
        </is>
      </c>
      <c r="C10" s="3" t="inlineStr">
        <is>
          <t>Units</t>
        </is>
      </c>
      <c r="D10" s="3" t="inlineStr">
        <is>
          <t>% of Total</t>
        </is>
      </c>
      <c r="F10" s="12" t="inlineStr">
        <is>
          <t>Sales Rep Leaderboard</t>
        </is>
      </c>
    </row>
    <row r="11" ht="30" customHeight="1">
      <c r="A11" s="6" t="inlineStr">
        <is>
          <t>Gauteng</t>
        </is>
      </c>
      <c r="B11" s="7">
        <f>SUMIF(Transactions!$C$5:$C$104,A11,Transactions!$H$5:$H$104)</f>
        <v/>
      </c>
      <c r="C11" s="15">
        <f>SUMIF(Transactions!$C$5:$C$104,A11,Transactions!$F$5:$F$104)</f>
        <v/>
      </c>
      <c r="D11" s="16">
        <f>B11/$B$4</f>
        <v/>
      </c>
      <c r="F11" s="3" t="inlineStr">
        <is>
          <t>Sales Rep</t>
        </is>
      </c>
      <c r="G11" s="3" t="inlineStr">
        <is>
          <t>Revenue</t>
        </is>
      </c>
    </row>
    <row r="12">
      <c r="A12" s="10" t="inlineStr">
        <is>
          <t>Western Cape</t>
        </is>
      </c>
      <c r="B12" s="11">
        <f>SUMIF(Transactions!$C$5:$C$104,A12,Transactions!$H$5:$H$104)</f>
        <v/>
      </c>
      <c r="C12" s="17">
        <f>SUMIF(Transactions!$C$5:$C$104,A12,Transactions!$F$5:$F$104)</f>
        <v/>
      </c>
      <c r="D12" s="18">
        <f>B12/$B$4</f>
        <v/>
      </c>
      <c r="F12" s="10" t="inlineStr">
        <is>
          <t>Thabo Mokoena</t>
        </is>
      </c>
      <c r="G12" s="11">
        <f>SUMIF(Transactions!$E$5:$E$104,F12,Transactions!$H$5:$H$104)</f>
        <v/>
      </c>
    </row>
    <row r="13">
      <c r="A13" s="6" t="inlineStr">
        <is>
          <t>KZN</t>
        </is>
      </c>
      <c r="B13" s="7">
        <f>SUMIF(Transactions!$C$5:$C$104,A13,Transactions!$H$5:$H$104)</f>
        <v/>
      </c>
      <c r="C13" s="15">
        <f>SUMIF(Transactions!$C$5:$C$104,A13,Transactions!$F$5:$F$104)</f>
        <v/>
      </c>
      <c r="D13" s="16">
        <f>B13/$B$4</f>
        <v/>
      </c>
      <c r="F13" s="6" t="inlineStr">
        <is>
          <t>Lerato Nkosi</t>
        </is>
      </c>
      <c r="G13" s="7">
        <f>SUMIF(Transactions!$E$5:$E$104,F13,Transactions!$H$5:$H$104)</f>
        <v/>
      </c>
    </row>
    <row r="14">
      <c r="A14" s="10" t="inlineStr">
        <is>
          <t>Eastern Cape</t>
        </is>
      </c>
      <c r="B14" s="11">
        <f>SUMIF(Transactions!$C$5:$C$104,A14,Transactions!$H$5:$H$104)</f>
        <v/>
      </c>
      <c r="C14" s="17">
        <f>SUMIF(Transactions!$C$5:$C$104,A14,Transactions!$F$5:$F$104)</f>
        <v/>
      </c>
      <c r="D14" s="18">
        <f>B14/$B$4</f>
        <v/>
      </c>
      <c r="F14" s="10" t="inlineStr">
        <is>
          <t>Sipho Dlamini</t>
        </is>
      </c>
      <c r="G14" s="11">
        <f>SUMIF(Transactions!$E$5:$E$104,F14,Transactions!$H$5:$H$104)</f>
        <v/>
      </c>
    </row>
    <row r="15">
      <c r="F15" s="6" t="inlineStr">
        <is>
          <t>Naledi Molefe</t>
        </is>
      </c>
      <c r="G15" s="7">
        <f>SUMIF(Transactions!$E$5:$E$104,F15,Transactions!$H$5:$H$104)</f>
        <v/>
      </c>
    </row>
    <row r="16">
      <c r="F16" s="10" t="inlineStr">
        <is>
          <t>Kagiso Khumalo</t>
        </is>
      </c>
      <c r="G16" s="11">
        <f>SUMIF(Transactions!$E$5:$E$104,F16,Transactions!$H$5:$H$104)</f>
        <v/>
      </c>
    </row>
    <row r="17" ht="30" customHeight="1">
      <c r="A17" s="3" t="inlineStr">
        <is>
          <t>Product</t>
        </is>
      </c>
      <c r="B17" s="3" t="inlineStr">
        <is>
          <t>Revenue</t>
        </is>
      </c>
      <c r="C17" s="3" t="inlineStr">
        <is>
          <t>Units</t>
        </is>
      </c>
      <c r="D17" s="3" t="inlineStr">
        <is>
          <t>% of Total</t>
        </is>
      </c>
      <c r="F17" s="6" t="inlineStr">
        <is>
          <t>Zanele Mahlangu</t>
        </is>
      </c>
      <c r="G17" s="7">
        <f>SUMIF(Transactions!$E$5:$E$104,F17,Transactions!$H$5:$H$104)</f>
        <v/>
      </c>
    </row>
    <row r="18">
      <c r="A18" s="10" t="inlineStr">
        <is>
          <t>Fibre 50Mbps</t>
        </is>
      </c>
      <c r="B18" s="11">
        <f>SUMIF(Transactions!$D$5:$D$104,A18,Transactions!$H$5:$H$104)</f>
        <v/>
      </c>
      <c r="C18" s="17">
        <f>SUMIF(Transactions!$D$5:$D$104,A18,Transactions!$F$5:$F$104)</f>
        <v/>
      </c>
      <c r="D18" s="18">
        <f>B18/$B$4</f>
        <v/>
      </c>
      <c r="F18" s="10" t="inlineStr">
        <is>
          <t>Tumelo Sithole</t>
        </is>
      </c>
      <c r="G18" s="11">
        <f>SUMIF(Transactions!$E$5:$E$104,F18,Transactions!$H$5:$H$104)</f>
        <v/>
      </c>
    </row>
    <row r="19">
      <c r="A19" s="6" t="inlineStr">
        <is>
          <t>Fibre 100Mbps</t>
        </is>
      </c>
      <c r="B19" s="7">
        <f>SUMIF(Transactions!$D$5:$D$104,A19,Transactions!$H$5:$H$104)</f>
        <v/>
      </c>
      <c r="C19" s="15">
        <f>SUMIF(Transactions!$D$5:$D$104,A19,Transactions!$F$5:$F$104)</f>
        <v/>
      </c>
      <c r="D19" s="16">
        <f>B19/$B$4</f>
        <v/>
      </c>
      <c r="F19" s="6" t="inlineStr">
        <is>
          <t>Ayanda Ndlovu</t>
        </is>
      </c>
      <c r="G19" s="7">
        <f>SUMIF(Transactions!$E$5:$E$104,F19,Transactions!$H$5:$H$104)</f>
        <v/>
      </c>
    </row>
    <row r="20">
      <c r="A20" s="10" t="inlineStr">
        <is>
          <t>LTE Router</t>
        </is>
      </c>
      <c r="B20" s="11">
        <f>SUMIF(Transactions!$D$5:$D$104,A20,Transactions!$H$5:$H$104)</f>
        <v/>
      </c>
      <c r="C20" s="17">
        <f>SUMIF(Transactions!$D$5:$D$104,A20,Transactions!$F$5:$F$104)</f>
        <v/>
      </c>
      <c r="D20" s="18">
        <f>B20/$B$4</f>
        <v/>
      </c>
    </row>
    <row r="21">
      <c r="A21" s="6" t="inlineStr">
        <is>
          <t>Voice Plan</t>
        </is>
      </c>
      <c r="B21" s="7">
        <f>SUMIF(Transactions!$D$5:$D$104,A21,Transactions!$H$5:$H$104)</f>
        <v/>
      </c>
      <c r="C21" s="15">
        <f>SUMIF(Transactions!$D$5:$D$104,A21,Transactions!$F$5:$F$104)</f>
        <v/>
      </c>
      <c r="D21" s="16">
        <f>B21/$B$4</f>
        <v/>
      </c>
      <c r="F21" s="12" t="inlineStr">
        <is>
          <t>Top Performer:</t>
        </is>
      </c>
      <c r="G21" s="19">
        <f>INDEX(F12:F19,MATCH(MAX(G12:G19),G12:G19,0))</f>
        <v/>
      </c>
    </row>
    <row r="22">
      <c r="A22" s="10" t="inlineStr">
        <is>
          <t>Cloud PBX</t>
        </is>
      </c>
      <c r="B22" s="11">
        <f>SUMIF(Transactions!$D$5:$D$104,A22,Transactions!$H$5:$H$104)</f>
        <v/>
      </c>
      <c r="C22" s="17">
        <f>SUMIF(Transactions!$D$5:$D$104,A22,Transactions!$F$5:$F$104)</f>
        <v/>
      </c>
      <c r="D22" s="18">
        <f>B22/$B$4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2026-08-08T23:26:11Z</dcterms:created>
  <dcterms:modified xmlns:dcterms="http://purl.org/dc/terms/" xmlns:xsi="http://www.w3.org/2001/XMLSchema-instance" xsi:type="dcterms:W3CDTF">2026-08-08T23:26:11Z</dcterms:modified>
</cp:coreProperties>
</file>