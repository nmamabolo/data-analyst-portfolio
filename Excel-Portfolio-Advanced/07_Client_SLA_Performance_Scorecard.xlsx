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 Scorecard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SLA Targets" sheetId="3" state="visible" r:id="rId3"/>
    <sheet xmlns:r="http://schemas.openxmlformats.org/officeDocument/2006/relationships" name="SLA Actu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&quot;s&quot;"/>
    <numFmt numFmtId="166" formatCode="R#,##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color rgb="001F3864"/>
      <sz val="15"/>
    </font>
    <font>
      <name val="Arial"/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EB9C"/>
      </patternFill>
    </fill>
    <fill>
      <patternFill patternType="solid">
        <fgColor rgb="00EAF0FA"/>
      </patternFill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6" borderId="0" applyAlignment="1" pivotButton="0" quotePrefix="0" xfId="0">
      <alignment horizontal="center" vertical="center" wrapText="1"/>
    </xf>
    <xf numFmtId="3" fontId="7" fillId="5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166" fontId="7" fillId="5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 inden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SLA Attainment % by Campaign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'SLA Scorecard'!R8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'SLA Scorecard'!$A$9:$A$20</f>
            </numRef>
          </cat>
          <val>
            <numRef>
              <f>'SLA Scorecard'!$R$9:$R$20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Service Level Trend</a:t>
            </a:r>
          </a:p>
        </rich>
      </tx>
    </title>
    <plotArea>
      <lineChart>
        <grouping val="standard"/>
        <ser>
          <idx val="0"/>
          <order val="0"/>
          <tx>
            <strRef>
              <f>'SLA Scorecard'!B24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'SLA Scorecard'!$A$25:$A$30</f>
            </numRef>
          </cat>
          <val>
            <numRef>
              <f>'SLA Scorecard'!$B$25:$B$30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7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8" customWidth="1" min="10" max="10"/>
    <col width="8" customWidth="1" min="11" max="11"/>
    <col width="6" customWidth="1" min="12" max="12"/>
    <col width="6" customWidth="1" min="13" max="13"/>
    <col width="6" customWidth="1" min="14" max="14"/>
    <col width="6" customWidth="1" min="15" max="15"/>
    <col width="8" customWidth="1" min="16" max="16"/>
    <col width="7" customWidth="1" min="17" max="17"/>
    <col width="9" customWidth="1" min="18" max="18"/>
    <col width="12" customWidth="1" min="19" max="19"/>
    <col width="8" customWidth="1" min="20" max="20"/>
  </cols>
  <sheetData>
    <row r="1" ht="30" customHeight="1">
      <c r="A1" s="1" t="inlineStr">
        <is>
          <t>Client SLA Scorecard — Jul-26 (Actual vs Target, RAG)</t>
        </is>
      </c>
    </row>
    <row r="2">
      <c r="A2" s="2" t="inlineStr">
        <is>
          <t>Latest-month actuals (AVERAGEIFS) vs contractual targets (INDEX/MATCH). Met/Miss drives RAG &amp; penalties.</t>
        </is>
      </c>
    </row>
    <row r="4">
      <c r="A4" s="3" t="inlineStr">
        <is>
          <t>Campaigns Green</t>
        </is>
      </c>
      <c r="C4" s="3" t="inlineStr">
        <is>
          <t>Campaigns Amber</t>
        </is>
      </c>
      <c r="E4" s="3" t="inlineStr">
        <is>
          <t>Campaigns Red</t>
        </is>
      </c>
      <c r="G4" s="3" t="inlineStr">
        <is>
          <t>Avg SLA Attainment</t>
        </is>
      </c>
      <c r="I4" s="3" t="inlineStr">
        <is>
          <t>Total Penalties (R)</t>
        </is>
      </c>
      <c r="K4" s="3" t="inlineStr">
        <is>
          <t>Avg Service Level</t>
        </is>
      </c>
    </row>
    <row r="5">
      <c r="A5" s="4">
        <f>COUNTIF($T$9:$T$20,"Green")</f>
        <v/>
      </c>
      <c r="C5" s="4">
        <f>COUNTIF($T$9:$T$20,"Amber")</f>
        <v/>
      </c>
      <c r="E5" s="4">
        <f>COUNTIF($T$9:$T$20,"Red")</f>
        <v/>
      </c>
      <c r="G5" s="5">
        <f>AVERAGE($R$9:$R$20)</f>
        <v/>
      </c>
      <c r="I5" s="6">
        <f>SUM($S$9:$S$20)</f>
        <v/>
      </c>
      <c r="K5" s="5">
        <f>AVERAGE($B$9:$B$20)</f>
        <v/>
      </c>
    </row>
    <row r="6"/>
    <row r="8" ht="30" customHeight="1">
      <c r="A8" s="7" t="inlineStr">
        <is>
          <t>Campaign</t>
        </is>
      </c>
      <c r="B8" s="7" t="inlineStr">
        <is>
          <t>SL Act</t>
        </is>
      </c>
      <c r="C8" s="7" t="inlineStr">
        <is>
          <t>CSAT Act</t>
        </is>
      </c>
      <c r="D8" s="7" t="inlineStr">
        <is>
          <t>QA Act</t>
        </is>
      </c>
      <c r="E8" s="7" t="inlineStr">
        <is>
          <t>ASA Act</t>
        </is>
      </c>
      <c r="F8" s="7" t="inlineStr">
        <is>
          <t>Abn Act</t>
        </is>
      </c>
      <c r="G8" s="7" t="inlineStr">
        <is>
          <t>SL Tgt</t>
        </is>
      </c>
      <c r="H8" s="7" t="inlineStr">
        <is>
          <t>CSAT Tgt</t>
        </is>
      </c>
      <c r="I8" s="7" t="inlineStr">
        <is>
          <t>QA Tgt</t>
        </is>
      </c>
      <c r="J8" s="7" t="inlineStr">
        <is>
          <t>ASA Tgt</t>
        </is>
      </c>
      <c r="K8" s="7" t="inlineStr">
        <is>
          <t>Abn Tgt</t>
        </is>
      </c>
      <c r="L8" s="7" t="inlineStr">
        <is>
          <t>SL</t>
        </is>
      </c>
      <c r="M8" s="7" t="inlineStr">
        <is>
          <t>CSAT</t>
        </is>
      </c>
      <c r="N8" s="7" t="inlineStr">
        <is>
          <t>QA</t>
        </is>
      </c>
      <c r="O8" s="7" t="inlineStr">
        <is>
          <t>ASA</t>
        </is>
      </c>
      <c r="P8" s="7" t="inlineStr">
        <is>
          <t>Abandon</t>
        </is>
      </c>
      <c r="Q8" s="7" t="inlineStr">
        <is>
          <t>Met /5</t>
        </is>
      </c>
      <c r="R8" s="7" t="inlineStr">
        <is>
          <t>Attain %</t>
        </is>
      </c>
      <c r="S8" s="7" t="inlineStr">
        <is>
          <t>Penalty (R)</t>
        </is>
      </c>
      <c r="T8" s="7" t="inlineStr">
        <is>
          <t>RAG</t>
        </is>
      </c>
    </row>
    <row r="9">
      <c r="A9" s="8" t="inlineStr">
        <is>
          <t>Vodacom Upgrades</t>
        </is>
      </c>
      <c r="B9" s="9">
        <f>AVERAGEIFS('SLA Actuals'!$C$5:$C$76,'SLA Actuals'!$A$5:$A$76,A9,'SLA Actuals'!$B$5:$B$76,"Jul-26")</f>
        <v/>
      </c>
      <c r="C9" s="9">
        <f>AVERAGEIFS('SLA Actuals'!$D$5:$D$76,'SLA Actuals'!$A$5:$A$76,A9,'SLA Actuals'!$B$5:$B$76,"Jul-26")</f>
        <v/>
      </c>
      <c r="D9" s="9">
        <f>AVERAGEIFS('SLA Actuals'!$E$5:$E$76,'SLA Actuals'!$A$5:$A$76,A9,'SLA Actuals'!$B$5:$B$76,"Jul-26")</f>
        <v/>
      </c>
      <c r="E9" s="10">
        <f>AVERAGEIFS('SLA Actuals'!$F$5:$F$76,'SLA Actuals'!$A$5:$A$76,A9,'SLA Actuals'!$B$5:$B$76,"Jul-26")</f>
        <v/>
      </c>
      <c r="F9" s="9">
        <f>AVERAGEIFS('SLA Actuals'!$G$5:$G$76,'SLA Actuals'!$A$5:$A$76,A9,'SLA Actuals'!$B$5:$B$76,"Jul-26")</f>
        <v/>
      </c>
      <c r="G9" s="9">
        <f>INDEX('SLA Targets'!$B$5:$B$16,MATCH(A9,'SLA Targets'!$A$5:$A$16,0))</f>
        <v/>
      </c>
      <c r="H9" s="9">
        <f>INDEX('SLA Targets'!$C$5:$C$16,MATCH(A9,'SLA Targets'!$A$5:$A$16,0))</f>
        <v/>
      </c>
      <c r="I9" s="9">
        <f>INDEX('SLA Targets'!$D$5:$D$16,MATCH(A9,'SLA Targets'!$A$5:$A$16,0))</f>
        <v/>
      </c>
      <c r="J9" s="10">
        <f>INDEX('SLA Targets'!$E$5:$E$16,MATCH(A9,'SLA Targets'!$A$5:$A$16,0))</f>
        <v/>
      </c>
      <c r="K9" s="9">
        <f>INDEX('SLA Targets'!$F$5:$F$16,MATCH(A9,'SLA Targets'!$A$5:$A$16,0))</f>
        <v/>
      </c>
      <c r="L9" s="11">
        <f>IF(B9&gt;=G9,"Met","Miss")</f>
        <v/>
      </c>
      <c r="M9" s="11">
        <f>IF(C9&gt;=H9,"Met","Miss")</f>
        <v/>
      </c>
      <c r="N9" s="11">
        <f>IF(D9&gt;=I9,"Met","Miss")</f>
        <v/>
      </c>
      <c r="O9" s="11">
        <f>IF(E9&lt;=J9,"Met","Miss")</f>
        <v/>
      </c>
      <c r="P9" s="11">
        <f>IF(F9&lt;=K9,"Met","Miss")</f>
        <v/>
      </c>
      <c r="Q9" s="11">
        <f>COUNTIF(L9:P9,"Met")</f>
        <v/>
      </c>
      <c r="R9" s="9">
        <f>Q9/5</f>
        <v/>
      </c>
      <c r="S9" s="12">
        <f>IF(L9="Miss",INDEX('SLA Targets'!$G$5:$G$16,MATCH(A9,'SLA Targets'!$A$5:$A$16,0)),0)</f>
        <v/>
      </c>
      <c r="T9" s="11">
        <f>IF(R9=1,"Green",IF(R9&gt;=0.6,"Amber","Red"))</f>
        <v/>
      </c>
    </row>
    <row r="10">
      <c r="A10" s="13" t="inlineStr">
        <is>
          <t>ABSA Collections</t>
        </is>
      </c>
      <c r="B10" s="14">
        <f>AVERAGEIFS('SLA Actuals'!$C$5:$C$76,'SLA Actuals'!$A$5:$A$76,A10,'SLA Actuals'!$B$5:$B$76,"Jul-26")</f>
        <v/>
      </c>
      <c r="C10" s="14">
        <f>AVERAGEIFS('SLA Actuals'!$D$5:$D$76,'SLA Actuals'!$A$5:$A$76,A10,'SLA Actuals'!$B$5:$B$76,"Jul-26")</f>
        <v/>
      </c>
      <c r="D10" s="14">
        <f>AVERAGEIFS('SLA Actuals'!$E$5:$E$76,'SLA Actuals'!$A$5:$A$76,A10,'SLA Actuals'!$B$5:$B$76,"Jul-26")</f>
        <v/>
      </c>
      <c r="E10" s="15">
        <f>AVERAGEIFS('SLA Actuals'!$F$5:$F$76,'SLA Actuals'!$A$5:$A$76,A10,'SLA Actuals'!$B$5:$B$76,"Jul-26")</f>
        <v/>
      </c>
      <c r="F10" s="14">
        <f>AVERAGEIFS('SLA Actuals'!$G$5:$G$76,'SLA Actuals'!$A$5:$A$76,A10,'SLA Actuals'!$B$5:$B$76,"Jul-26")</f>
        <v/>
      </c>
      <c r="G10" s="14">
        <f>INDEX('SLA Targets'!$B$5:$B$16,MATCH(A10,'SLA Targets'!$A$5:$A$16,0))</f>
        <v/>
      </c>
      <c r="H10" s="14">
        <f>INDEX('SLA Targets'!$C$5:$C$16,MATCH(A10,'SLA Targets'!$A$5:$A$16,0))</f>
        <v/>
      </c>
      <c r="I10" s="14">
        <f>INDEX('SLA Targets'!$D$5:$D$16,MATCH(A10,'SLA Targets'!$A$5:$A$16,0))</f>
        <v/>
      </c>
      <c r="J10" s="15">
        <f>INDEX('SLA Targets'!$E$5:$E$16,MATCH(A10,'SLA Targets'!$A$5:$A$16,0))</f>
        <v/>
      </c>
      <c r="K10" s="14">
        <f>INDEX('SLA Targets'!$F$5:$F$16,MATCH(A10,'SLA Targets'!$A$5:$A$16,0))</f>
        <v/>
      </c>
      <c r="L10" s="16">
        <f>IF(B10&gt;=G10,"Met","Miss")</f>
        <v/>
      </c>
      <c r="M10" s="16">
        <f>IF(C10&gt;=H10,"Met","Miss")</f>
        <v/>
      </c>
      <c r="N10" s="16">
        <f>IF(D10&gt;=I10,"Met","Miss")</f>
        <v/>
      </c>
      <c r="O10" s="16">
        <f>IF(E10&lt;=J10,"Met","Miss")</f>
        <v/>
      </c>
      <c r="P10" s="16">
        <f>IF(F10&lt;=K10,"Met","Miss")</f>
        <v/>
      </c>
      <c r="Q10" s="16">
        <f>COUNTIF(L10:P10,"Met")</f>
        <v/>
      </c>
      <c r="R10" s="14">
        <f>Q10/5</f>
        <v/>
      </c>
      <c r="S10" s="17">
        <f>IF(L10="Miss",INDEX('SLA Targets'!$G$5:$G$16,MATCH(A10,'SLA Targets'!$A$5:$A$16,0)),0)</f>
        <v/>
      </c>
      <c r="T10" s="16">
        <f>IF(R10=1,"Green",IF(R10&gt;=0.6,"Amber","Red"))</f>
        <v/>
      </c>
    </row>
    <row r="11">
      <c r="A11" s="8" t="inlineStr">
        <is>
          <t>MTN Retentions</t>
        </is>
      </c>
      <c r="B11" s="9">
        <f>AVERAGEIFS('SLA Actuals'!$C$5:$C$76,'SLA Actuals'!$A$5:$A$76,A11,'SLA Actuals'!$B$5:$B$76,"Jul-26")</f>
        <v/>
      </c>
      <c r="C11" s="9">
        <f>AVERAGEIFS('SLA Actuals'!$D$5:$D$76,'SLA Actuals'!$A$5:$A$76,A11,'SLA Actuals'!$B$5:$B$76,"Jul-26")</f>
        <v/>
      </c>
      <c r="D11" s="9">
        <f>AVERAGEIFS('SLA Actuals'!$E$5:$E$76,'SLA Actuals'!$A$5:$A$76,A11,'SLA Actuals'!$B$5:$B$76,"Jul-26")</f>
        <v/>
      </c>
      <c r="E11" s="10">
        <f>AVERAGEIFS('SLA Actuals'!$F$5:$F$76,'SLA Actuals'!$A$5:$A$76,A11,'SLA Actuals'!$B$5:$B$76,"Jul-26")</f>
        <v/>
      </c>
      <c r="F11" s="9">
        <f>AVERAGEIFS('SLA Actuals'!$G$5:$G$76,'SLA Actuals'!$A$5:$A$76,A11,'SLA Actuals'!$B$5:$B$76,"Jul-26")</f>
        <v/>
      </c>
      <c r="G11" s="9">
        <f>INDEX('SLA Targets'!$B$5:$B$16,MATCH(A11,'SLA Targets'!$A$5:$A$16,0))</f>
        <v/>
      </c>
      <c r="H11" s="9">
        <f>INDEX('SLA Targets'!$C$5:$C$16,MATCH(A11,'SLA Targets'!$A$5:$A$16,0))</f>
        <v/>
      </c>
      <c r="I11" s="9">
        <f>INDEX('SLA Targets'!$D$5:$D$16,MATCH(A11,'SLA Targets'!$A$5:$A$16,0))</f>
        <v/>
      </c>
      <c r="J11" s="10">
        <f>INDEX('SLA Targets'!$E$5:$E$16,MATCH(A11,'SLA Targets'!$A$5:$A$16,0))</f>
        <v/>
      </c>
      <c r="K11" s="9">
        <f>INDEX('SLA Targets'!$F$5:$F$16,MATCH(A11,'SLA Targets'!$A$5:$A$16,0))</f>
        <v/>
      </c>
      <c r="L11" s="11">
        <f>IF(B11&gt;=G11,"Met","Miss")</f>
        <v/>
      </c>
      <c r="M11" s="11">
        <f>IF(C11&gt;=H11,"Met","Miss")</f>
        <v/>
      </c>
      <c r="N11" s="11">
        <f>IF(D11&gt;=I11,"Met","Miss")</f>
        <v/>
      </c>
      <c r="O11" s="11">
        <f>IF(E11&lt;=J11,"Met","Miss")</f>
        <v/>
      </c>
      <c r="P11" s="11">
        <f>IF(F11&lt;=K11,"Met","Miss")</f>
        <v/>
      </c>
      <c r="Q11" s="11">
        <f>COUNTIF(L11:P11,"Met")</f>
        <v/>
      </c>
      <c r="R11" s="9">
        <f>Q11/5</f>
        <v/>
      </c>
      <c r="S11" s="12">
        <f>IF(L11="Miss",INDEX('SLA Targets'!$G$5:$G$16,MATCH(A11,'SLA Targets'!$A$5:$A$16,0)),0)</f>
        <v/>
      </c>
      <c r="T11" s="11">
        <f>IF(R11=1,"Green",IF(R11&gt;=0.6,"Amber","Red"))</f>
        <v/>
      </c>
    </row>
    <row r="12">
      <c r="A12" s="13" t="inlineStr">
        <is>
          <t>Takealot Care</t>
        </is>
      </c>
      <c r="B12" s="14">
        <f>AVERAGEIFS('SLA Actuals'!$C$5:$C$76,'SLA Actuals'!$A$5:$A$76,A12,'SLA Actuals'!$B$5:$B$76,"Jul-26")</f>
        <v/>
      </c>
      <c r="C12" s="14">
        <f>AVERAGEIFS('SLA Actuals'!$D$5:$D$76,'SLA Actuals'!$A$5:$A$76,A12,'SLA Actuals'!$B$5:$B$76,"Jul-26")</f>
        <v/>
      </c>
      <c r="D12" s="14">
        <f>AVERAGEIFS('SLA Actuals'!$E$5:$E$76,'SLA Actuals'!$A$5:$A$76,A12,'SLA Actuals'!$B$5:$B$76,"Jul-26")</f>
        <v/>
      </c>
      <c r="E12" s="15">
        <f>AVERAGEIFS('SLA Actuals'!$F$5:$F$76,'SLA Actuals'!$A$5:$A$76,A12,'SLA Actuals'!$B$5:$B$76,"Jul-26")</f>
        <v/>
      </c>
      <c r="F12" s="14">
        <f>AVERAGEIFS('SLA Actuals'!$G$5:$G$76,'SLA Actuals'!$A$5:$A$76,A12,'SLA Actuals'!$B$5:$B$76,"Jul-26")</f>
        <v/>
      </c>
      <c r="G12" s="14">
        <f>INDEX('SLA Targets'!$B$5:$B$16,MATCH(A12,'SLA Targets'!$A$5:$A$16,0))</f>
        <v/>
      </c>
      <c r="H12" s="14">
        <f>INDEX('SLA Targets'!$C$5:$C$16,MATCH(A12,'SLA Targets'!$A$5:$A$16,0))</f>
        <v/>
      </c>
      <c r="I12" s="14">
        <f>INDEX('SLA Targets'!$D$5:$D$16,MATCH(A12,'SLA Targets'!$A$5:$A$16,0))</f>
        <v/>
      </c>
      <c r="J12" s="15">
        <f>INDEX('SLA Targets'!$E$5:$E$16,MATCH(A12,'SLA Targets'!$A$5:$A$16,0))</f>
        <v/>
      </c>
      <c r="K12" s="14">
        <f>INDEX('SLA Targets'!$F$5:$F$16,MATCH(A12,'SLA Targets'!$A$5:$A$16,0))</f>
        <v/>
      </c>
      <c r="L12" s="16">
        <f>IF(B12&gt;=G12,"Met","Miss")</f>
        <v/>
      </c>
      <c r="M12" s="16">
        <f>IF(C12&gt;=H12,"Met","Miss")</f>
        <v/>
      </c>
      <c r="N12" s="16">
        <f>IF(D12&gt;=I12,"Met","Miss")</f>
        <v/>
      </c>
      <c r="O12" s="16">
        <f>IF(E12&lt;=J12,"Met","Miss")</f>
        <v/>
      </c>
      <c r="P12" s="16">
        <f>IF(F12&lt;=K12,"Met","Miss")</f>
        <v/>
      </c>
      <c r="Q12" s="16">
        <f>COUNTIF(L12:P12,"Met")</f>
        <v/>
      </c>
      <c r="R12" s="14">
        <f>Q12/5</f>
        <v/>
      </c>
      <c r="S12" s="17">
        <f>IF(L12="Miss",INDEX('SLA Targets'!$G$5:$G$16,MATCH(A12,'SLA Targets'!$A$5:$A$16,0)),0)</f>
        <v/>
      </c>
      <c r="T12" s="16">
        <f>IF(R12=1,"Green",IF(R12&gt;=0.6,"Amber","Red"))</f>
        <v/>
      </c>
    </row>
    <row r="13">
      <c r="A13" s="8" t="inlineStr">
        <is>
          <t>Telkom Tech Support</t>
        </is>
      </c>
      <c r="B13" s="9">
        <f>AVERAGEIFS('SLA Actuals'!$C$5:$C$76,'SLA Actuals'!$A$5:$A$76,A13,'SLA Actuals'!$B$5:$B$76,"Jul-26")</f>
        <v/>
      </c>
      <c r="C13" s="9">
        <f>AVERAGEIFS('SLA Actuals'!$D$5:$D$76,'SLA Actuals'!$A$5:$A$76,A13,'SLA Actuals'!$B$5:$B$76,"Jul-26")</f>
        <v/>
      </c>
      <c r="D13" s="9">
        <f>AVERAGEIFS('SLA Actuals'!$E$5:$E$76,'SLA Actuals'!$A$5:$A$76,A13,'SLA Actuals'!$B$5:$B$76,"Jul-26")</f>
        <v/>
      </c>
      <c r="E13" s="10">
        <f>AVERAGEIFS('SLA Actuals'!$F$5:$F$76,'SLA Actuals'!$A$5:$A$76,A13,'SLA Actuals'!$B$5:$B$76,"Jul-26")</f>
        <v/>
      </c>
      <c r="F13" s="9">
        <f>AVERAGEIFS('SLA Actuals'!$G$5:$G$76,'SLA Actuals'!$A$5:$A$76,A13,'SLA Actuals'!$B$5:$B$76,"Jul-26")</f>
        <v/>
      </c>
      <c r="G13" s="9">
        <f>INDEX('SLA Targets'!$B$5:$B$16,MATCH(A13,'SLA Targets'!$A$5:$A$16,0))</f>
        <v/>
      </c>
      <c r="H13" s="9">
        <f>INDEX('SLA Targets'!$C$5:$C$16,MATCH(A13,'SLA Targets'!$A$5:$A$16,0))</f>
        <v/>
      </c>
      <c r="I13" s="9">
        <f>INDEX('SLA Targets'!$D$5:$D$16,MATCH(A13,'SLA Targets'!$A$5:$A$16,0))</f>
        <v/>
      </c>
      <c r="J13" s="10">
        <f>INDEX('SLA Targets'!$E$5:$E$16,MATCH(A13,'SLA Targets'!$A$5:$A$16,0))</f>
        <v/>
      </c>
      <c r="K13" s="9">
        <f>INDEX('SLA Targets'!$F$5:$F$16,MATCH(A13,'SLA Targets'!$A$5:$A$16,0))</f>
        <v/>
      </c>
      <c r="L13" s="11">
        <f>IF(B13&gt;=G13,"Met","Miss")</f>
        <v/>
      </c>
      <c r="M13" s="11">
        <f>IF(C13&gt;=H13,"Met","Miss")</f>
        <v/>
      </c>
      <c r="N13" s="11">
        <f>IF(D13&gt;=I13,"Met","Miss")</f>
        <v/>
      </c>
      <c r="O13" s="11">
        <f>IF(E13&lt;=J13,"Met","Miss")</f>
        <v/>
      </c>
      <c r="P13" s="11">
        <f>IF(F13&lt;=K13,"Met","Miss")</f>
        <v/>
      </c>
      <c r="Q13" s="11">
        <f>COUNTIF(L13:P13,"Met")</f>
        <v/>
      </c>
      <c r="R13" s="9">
        <f>Q13/5</f>
        <v/>
      </c>
      <c r="S13" s="12">
        <f>IF(L13="Miss",INDEX('SLA Targets'!$G$5:$G$16,MATCH(A13,'SLA Targets'!$A$5:$A$16,0)),0)</f>
        <v/>
      </c>
      <c r="T13" s="11">
        <f>IF(R13=1,"Green",IF(R13&gt;=0.6,"Amber","Red"))</f>
        <v/>
      </c>
    </row>
    <row r="14">
      <c r="A14" s="13" t="inlineStr">
        <is>
          <t>Nedbank Debt Review</t>
        </is>
      </c>
      <c r="B14" s="14">
        <f>AVERAGEIFS('SLA Actuals'!$C$5:$C$76,'SLA Actuals'!$A$5:$A$76,A14,'SLA Actuals'!$B$5:$B$76,"Jul-26")</f>
        <v/>
      </c>
      <c r="C14" s="14">
        <f>AVERAGEIFS('SLA Actuals'!$D$5:$D$76,'SLA Actuals'!$A$5:$A$76,A14,'SLA Actuals'!$B$5:$B$76,"Jul-26")</f>
        <v/>
      </c>
      <c r="D14" s="14">
        <f>AVERAGEIFS('SLA Actuals'!$E$5:$E$76,'SLA Actuals'!$A$5:$A$76,A14,'SLA Actuals'!$B$5:$B$76,"Jul-26")</f>
        <v/>
      </c>
      <c r="E14" s="15">
        <f>AVERAGEIFS('SLA Actuals'!$F$5:$F$76,'SLA Actuals'!$A$5:$A$76,A14,'SLA Actuals'!$B$5:$B$76,"Jul-26")</f>
        <v/>
      </c>
      <c r="F14" s="14">
        <f>AVERAGEIFS('SLA Actuals'!$G$5:$G$76,'SLA Actuals'!$A$5:$A$76,A14,'SLA Actuals'!$B$5:$B$76,"Jul-26")</f>
        <v/>
      </c>
      <c r="G14" s="14">
        <f>INDEX('SLA Targets'!$B$5:$B$16,MATCH(A14,'SLA Targets'!$A$5:$A$16,0))</f>
        <v/>
      </c>
      <c r="H14" s="14">
        <f>INDEX('SLA Targets'!$C$5:$C$16,MATCH(A14,'SLA Targets'!$A$5:$A$16,0))</f>
        <v/>
      </c>
      <c r="I14" s="14">
        <f>INDEX('SLA Targets'!$D$5:$D$16,MATCH(A14,'SLA Targets'!$A$5:$A$16,0))</f>
        <v/>
      </c>
      <c r="J14" s="15">
        <f>INDEX('SLA Targets'!$E$5:$E$16,MATCH(A14,'SLA Targets'!$A$5:$A$16,0))</f>
        <v/>
      </c>
      <c r="K14" s="14">
        <f>INDEX('SLA Targets'!$F$5:$F$16,MATCH(A14,'SLA Targets'!$A$5:$A$16,0))</f>
        <v/>
      </c>
      <c r="L14" s="16">
        <f>IF(B14&gt;=G14,"Met","Miss")</f>
        <v/>
      </c>
      <c r="M14" s="16">
        <f>IF(C14&gt;=H14,"Met","Miss")</f>
        <v/>
      </c>
      <c r="N14" s="16">
        <f>IF(D14&gt;=I14,"Met","Miss")</f>
        <v/>
      </c>
      <c r="O14" s="16">
        <f>IF(E14&lt;=J14,"Met","Miss")</f>
        <v/>
      </c>
      <c r="P14" s="16">
        <f>IF(F14&lt;=K14,"Met","Miss")</f>
        <v/>
      </c>
      <c r="Q14" s="16">
        <f>COUNTIF(L14:P14,"Met")</f>
        <v/>
      </c>
      <c r="R14" s="14">
        <f>Q14/5</f>
        <v/>
      </c>
      <c r="S14" s="17">
        <f>IF(L14="Miss",INDEX('SLA Targets'!$G$5:$G$16,MATCH(A14,'SLA Targets'!$A$5:$A$16,0)),0)</f>
        <v/>
      </c>
      <c r="T14" s="16">
        <f>IF(R14=1,"Green",IF(R14&gt;=0.6,"Amber","Red"))</f>
        <v/>
      </c>
    </row>
    <row r="15">
      <c r="A15" s="8" t="inlineStr">
        <is>
          <t>DStv Upsell</t>
        </is>
      </c>
      <c r="B15" s="9">
        <f>AVERAGEIFS('SLA Actuals'!$C$5:$C$76,'SLA Actuals'!$A$5:$A$76,A15,'SLA Actuals'!$B$5:$B$76,"Jul-26")</f>
        <v/>
      </c>
      <c r="C15" s="9">
        <f>AVERAGEIFS('SLA Actuals'!$D$5:$D$76,'SLA Actuals'!$A$5:$A$76,A15,'SLA Actuals'!$B$5:$B$76,"Jul-26")</f>
        <v/>
      </c>
      <c r="D15" s="9">
        <f>AVERAGEIFS('SLA Actuals'!$E$5:$E$76,'SLA Actuals'!$A$5:$A$76,A15,'SLA Actuals'!$B$5:$B$76,"Jul-26")</f>
        <v/>
      </c>
      <c r="E15" s="10">
        <f>AVERAGEIFS('SLA Actuals'!$F$5:$F$76,'SLA Actuals'!$A$5:$A$76,A15,'SLA Actuals'!$B$5:$B$76,"Jul-26")</f>
        <v/>
      </c>
      <c r="F15" s="9">
        <f>AVERAGEIFS('SLA Actuals'!$G$5:$G$76,'SLA Actuals'!$A$5:$A$76,A15,'SLA Actuals'!$B$5:$B$76,"Jul-26")</f>
        <v/>
      </c>
      <c r="G15" s="9">
        <f>INDEX('SLA Targets'!$B$5:$B$16,MATCH(A15,'SLA Targets'!$A$5:$A$16,0))</f>
        <v/>
      </c>
      <c r="H15" s="9">
        <f>INDEX('SLA Targets'!$C$5:$C$16,MATCH(A15,'SLA Targets'!$A$5:$A$16,0))</f>
        <v/>
      </c>
      <c r="I15" s="9">
        <f>INDEX('SLA Targets'!$D$5:$D$16,MATCH(A15,'SLA Targets'!$A$5:$A$16,0))</f>
        <v/>
      </c>
      <c r="J15" s="10">
        <f>INDEX('SLA Targets'!$E$5:$E$16,MATCH(A15,'SLA Targets'!$A$5:$A$16,0))</f>
        <v/>
      </c>
      <c r="K15" s="9">
        <f>INDEX('SLA Targets'!$F$5:$F$16,MATCH(A15,'SLA Targets'!$A$5:$A$16,0))</f>
        <v/>
      </c>
      <c r="L15" s="11">
        <f>IF(B15&gt;=G15,"Met","Miss")</f>
        <v/>
      </c>
      <c r="M15" s="11">
        <f>IF(C15&gt;=H15,"Met","Miss")</f>
        <v/>
      </c>
      <c r="N15" s="11">
        <f>IF(D15&gt;=I15,"Met","Miss")</f>
        <v/>
      </c>
      <c r="O15" s="11">
        <f>IF(E15&lt;=J15,"Met","Miss")</f>
        <v/>
      </c>
      <c r="P15" s="11">
        <f>IF(F15&lt;=K15,"Met","Miss")</f>
        <v/>
      </c>
      <c r="Q15" s="11">
        <f>COUNTIF(L15:P15,"Met")</f>
        <v/>
      </c>
      <c r="R15" s="9">
        <f>Q15/5</f>
        <v/>
      </c>
      <c r="S15" s="12">
        <f>IF(L15="Miss",INDEX('SLA Targets'!$G$5:$G$16,MATCH(A15,'SLA Targets'!$A$5:$A$16,0)),0)</f>
        <v/>
      </c>
      <c r="T15" s="11">
        <f>IF(R15=1,"Green",IF(R15&gt;=0.6,"Amber","Red"))</f>
        <v/>
      </c>
    </row>
    <row r="16">
      <c r="A16" s="13" t="inlineStr">
        <is>
          <t>Discovery Lead Gen</t>
        </is>
      </c>
      <c r="B16" s="14">
        <f>AVERAGEIFS('SLA Actuals'!$C$5:$C$76,'SLA Actuals'!$A$5:$A$76,A16,'SLA Actuals'!$B$5:$B$76,"Jul-26")</f>
        <v/>
      </c>
      <c r="C16" s="14">
        <f>AVERAGEIFS('SLA Actuals'!$D$5:$D$76,'SLA Actuals'!$A$5:$A$76,A16,'SLA Actuals'!$B$5:$B$76,"Jul-26")</f>
        <v/>
      </c>
      <c r="D16" s="14">
        <f>AVERAGEIFS('SLA Actuals'!$E$5:$E$76,'SLA Actuals'!$A$5:$A$76,A16,'SLA Actuals'!$B$5:$B$76,"Jul-26")</f>
        <v/>
      </c>
      <c r="E16" s="15">
        <f>AVERAGEIFS('SLA Actuals'!$F$5:$F$76,'SLA Actuals'!$A$5:$A$76,A16,'SLA Actuals'!$B$5:$B$76,"Jul-26")</f>
        <v/>
      </c>
      <c r="F16" s="14">
        <f>AVERAGEIFS('SLA Actuals'!$G$5:$G$76,'SLA Actuals'!$A$5:$A$76,A16,'SLA Actuals'!$B$5:$B$76,"Jul-26")</f>
        <v/>
      </c>
      <c r="G16" s="14">
        <f>INDEX('SLA Targets'!$B$5:$B$16,MATCH(A16,'SLA Targets'!$A$5:$A$16,0))</f>
        <v/>
      </c>
      <c r="H16" s="14">
        <f>INDEX('SLA Targets'!$C$5:$C$16,MATCH(A16,'SLA Targets'!$A$5:$A$16,0))</f>
        <v/>
      </c>
      <c r="I16" s="14">
        <f>INDEX('SLA Targets'!$D$5:$D$16,MATCH(A16,'SLA Targets'!$A$5:$A$16,0))</f>
        <v/>
      </c>
      <c r="J16" s="15">
        <f>INDEX('SLA Targets'!$E$5:$E$16,MATCH(A16,'SLA Targets'!$A$5:$A$16,0))</f>
        <v/>
      </c>
      <c r="K16" s="14">
        <f>INDEX('SLA Targets'!$F$5:$F$16,MATCH(A16,'SLA Targets'!$A$5:$A$16,0))</f>
        <v/>
      </c>
      <c r="L16" s="16">
        <f>IF(B16&gt;=G16,"Met","Miss")</f>
        <v/>
      </c>
      <c r="M16" s="16">
        <f>IF(C16&gt;=H16,"Met","Miss")</f>
        <v/>
      </c>
      <c r="N16" s="16">
        <f>IF(D16&gt;=I16,"Met","Miss")</f>
        <v/>
      </c>
      <c r="O16" s="16">
        <f>IF(E16&lt;=J16,"Met","Miss")</f>
        <v/>
      </c>
      <c r="P16" s="16">
        <f>IF(F16&lt;=K16,"Met","Miss")</f>
        <v/>
      </c>
      <c r="Q16" s="16">
        <f>COUNTIF(L16:P16,"Met")</f>
        <v/>
      </c>
      <c r="R16" s="14">
        <f>Q16/5</f>
        <v/>
      </c>
      <c r="S16" s="17">
        <f>IF(L16="Miss",INDEX('SLA Targets'!$G$5:$G$16,MATCH(A16,'SLA Targets'!$A$5:$A$16,0)),0)</f>
        <v/>
      </c>
      <c r="T16" s="16">
        <f>IF(R16=1,"Green",IF(R16&gt;=0.6,"Amber","Red"))</f>
        <v/>
      </c>
    </row>
    <row r="17">
      <c r="A17" s="8" t="inlineStr">
        <is>
          <t>Cell C Winback</t>
        </is>
      </c>
      <c r="B17" s="9">
        <f>AVERAGEIFS('SLA Actuals'!$C$5:$C$76,'SLA Actuals'!$A$5:$A$76,A17,'SLA Actuals'!$B$5:$B$76,"Jul-26")</f>
        <v/>
      </c>
      <c r="C17" s="9">
        <f>AVERAGEIFS('SLA Actuals'!$D$5:$D$76,'SLA Actuals'!$A$5:$A$76,A17,'SLA Actuals'!$B$5:$B$76,"Jul-26")</f>
        <v/>
      </c>
      <c r="D17" s="9">
        <f>AVERAGEIFS('SLA Actuals'!$E$5:$E$76,'SLA Actuals'!$A$5:$A$76,A17,'SLA Actuals'!$B$5:$B$76,"Jul-26")</f>
        <v/>
      </c>
      <c r="E17" s="10">
        <f>AVERAGEIFS('SLA Actuals'!$F$5:$F$76,'SLA Actuals'!$A$5:$A$76,A17,'SLA Actuals'!$B$5:$B$76,"Jul-26")</f>
        <v/>
      </c>
      <c r="F17" s="9">
        <f>AVERAGEIFS('SLA Actuals'!$G$5:$G$76,'SLA Actuals'!$A$5:$A$76,A17,'SLA Actuals'!$B$5:$B$76,"Jul-26")</f>
        <v/>
      </c>
      <c r="G17" s="9">
        <f>INDEX('SLA Targets'!$B$5:$B$16,MATCH(A17,'SLA Targets'!$A$5:$A$16,0))</f>
        <v/>
      </c>
      <c r="H17" s="9">
        <f>INDEX('SLA Targets'!$C$5:$C$16,MATCH(A17,'SLA Targets'!$A$5:$A$16,0))</f>
        <v/>
      </c>
      <c r="I17" s="9">
        <f>INDEX('SLA Targets'!$D$5:$D$16,MATCH(A17,'SLA Targets'!$A$5:$A$16,0))</f>
        <v/>
      </c>
      <c r="J17" s="10">
        <f>INDEX('SLA Targets'!$E$5:$E$16,MATCH(A17,'SLA Targets'!$A$5:$A$16,0))</f>
        <v/>
      </c>
      <c r="K17" s="9">
        <f>INDEX('SLA Targets'!$F$5:$F$16,MATCH(A17,'SLA Targets'!$A$5:$A$16,0))</f>
        <v/>
      </c>
      <c r="L17" s="11">
        <f>IF(B17&gt;=G17,"Met","Miss")</f>
        <v/>
      </c>
      <c r="M17" s="11">
        <f>IF(C17&gt;=H17,"Met","Miss")</f>
        <v/>
      </c>
      <c r="N17" s="11">
        <f>IF(D17&gt;=I17,"Met","Miss")</f>
        <v/>
      </c>
      <c r="O17" s="11">
        <f>IF(E17&lt;=J17,"Met","Miss")</f>
        <v/>
      </c>
      <c r="P17" s="11">
        <f>IF(F17&lt;=K17,"Met","Miss")</f>
        <v/>
      </c>
      <c r="Q17" s="11">
        <f>COUNTIF(L17:P17,"Met")</f>
        <v/>
      </c>
      <c r="R17" s="9">
        <f>Q17/5</f>
        <v/>
      </c>
      <c r="S17" s="12">
        <f>IF(L17="Miss",INDEX('SLA Targets'!$G$5:$G$16,MATCH(A17,'SLA Targets'!$A$5:$A$16,0)),0)</f>
        <v/>
      </c>
      <c r="T17" s="11">
        <f>IF(R17=1,"Green",IF(R17&gt;=0.6,"Amber","Red"))</f>
        <v/>
      </c>
    </row>
    <row r="18">
      <c r="A18" s="13" t="inlineStr">
        <is>
          <t>OUTsurance Sales</t>
        </is>
      </c>
      <c r="B18" s="14">
        <f>AVERAGEIFS('SLA Actuals'!$C$5:$C$76,'SLA Actuals'!$A$5:$A$76,A18,'SLA Actuals'!$B$5:$B$76,"Jul-26")</f>
        <v/>
      </c>
      <c r="C18" s="14">
        <f>AVERAGEIFS('SLA Actuals'!$D$5:$D$76,'SLA Actuals'!$A$5:$A$76,A18,'SLA Actuals'!$B$5:$B$76,"Jul-26")</f>
        <v/>
      </c>
      <c r="D18" s="14">
        <f>AVERAGEIFS('SLA Actuals'!$E$5:$E$76,'SLA Actuals'!$A$5:$A$76,A18,'SLA Actuals'!$B$5:$B$76,"Jul-26")</f>
        <v/>
      </c>
      <c r="E18" s="15">
        <f>AVERAGEIFS('SLA Actuals'!$F$5:$F$76,'SLA Actuals'!$A$5:$A$76,A18,'SLA Actuals'!$B$5:$B$76,"Jul-26")</f>
        <v/>
      </c>
      <c r="F18" s="14">
        <f>AVERAGEIFS('SLA Actuals'!$G$5:$G$76,'SLA Actuals'!$A$5:$A$76,A18,'SLA Actuals'!$B$5:$B$76,"Jul-26")</f>
        <v/>
      </c>
      <c r="G18" s="14">
        <f>INDEX('SLA Targets'!$B$5:$B$16,MATCH(A18,'SLA Targets'!$A$5:$A$16,0))</f>
        <v/>
      </c>
      <c r="H18" s="14">
        <f>INDEX('SLA Targets'!$C$5:$C$16,MATCH(A18,'SLA Targets'!$A$5:$A$16,0))</f>
        <v/>
      </c>
      <c r="I18" s="14">
        <f>INDEX('SLA Targets'!$D$5:$D$16,MATCH(A18,'SLA Targets'!$A$5:$A$16,0))</f>
        <v/>
      </c>
      <c r="J18" s="15">
        <f>INDEX('SLA Targets'!$E$5:$E$16,MATCH(A18,'SLA Targets'!$A$5:$A$16,0))</f>
        <v/>
      </c>
      <c r="K18" s="14">
        <f>INDEX('SLA Targets'!$F$5:$F$16,MATCH(A18,'SLA Targets'!$A$5:$A$16,0))</f>
        <v/>
      </c>
      <c r="L18" s="16">
        <f>IF(B18&gt;=G18,"Met","Miss")</f>
        <v/>
      </c>
      <c r="M18" s="16">
        <f>IF(C18&gt;=H18,"Met","Miss")</f>
        <v/>
      </c>
      <c r="N18" s="16">
        <f>IF(D18&gt;=I18,"Met","Miss")</f>
        <v/>
      </c>
      <c r="O18" s="16">
        <f>IF(E18&lt;=J18,"Met","Miss")</f>
        <v/>
      </c>
      <c r="P18" s="16">
        <f>IF(F18&lt;=K18,"Met","Miss")</f>
        <v/>
      </c>
      <c r="Q18" s="16">
        <f>COUNTIF(L18:P18,"Met")</f>
        <v/>
      </c>
      <c r="R18" s="14">
        <f>Q18/5</f>
        <v/>
      </c>
      <c r="S18" s="17">
        <f>IF(L18="Miss",INDEX('SLA Targets'!$G$5:$G$16,MATCH(A18,'SLA Targets'!$A$5:$A$16,0)),0)</f>
        <v/>
      </c>
      <c r="T18" s="16">
        <f>IF(R18=1,"Green",IF(R18&gt;=0.6,"Amber","Red"))</f>
        <v/>
      </c>
    </row>
    <row r="19">
      <c r="A19" s="8" t="inlineStr">
        <is>
          <t>Standard Bank Helpdesk</t>
        </is>
      </c>
      <c r="B19" s="9">
        <f>AVERAGEIFS('SLA Actuals'!$C$5:$C$76,'SLA Actuals'!$A$5:$A$76,A19,'SLA Actuals'!$B$5:$B$76,"Jul-26")</f>
        <v/>
      </c>
      <c r="C19" s="9">
        <f>AVERAGEIFS('SLA Actuals'!$D$5:$D$76,'SLA Actuals'!$A$5:$A$76,A19,'SLA Actuals'!$B$5:$B$76,"Jul-26")</f>
        <v/>
      </c>
      <c r="D19" s="9">
        <f>AVERAGEIFS('SLA Actuals'!$E$5:$E$76,'SLA Actuals'!$A$5:$A$76,A19,'SLA Actuals'!$B$5:$B$76,"Jul-26")</f>
        <v/>
      </c>
      <c r="E19" s="10">
        <f>AVERAGEIFS('SLA Actuals'!$F$5:$F$76,'SLA Actuals'!$A$5:$A$76,A19,'SLA Actuals'!$B$5:$B$76,"Jul-26")</f>
        <v/>
      </c>
      <c r="F19" s="9">
        <f>AVERAGEIFS('SLA Actuals'!$G$5:$G$76,'SLA Actuals'!$A$5:$A$76,A19,'SLA Actuals'!$B$5:$B$76,"Jul-26")</f>
        <v/>
      </c>
      <c r="G19" s="9">
        <f>INDEX('SLA Targets'!$B$5:$B$16,MATCH(A19,'SLA Targets'!$A$5:$A$16,0))</f>
        <v/>
      </c>
      <c r="H19" s="9">
        <f>INDEX('SLA Targets'!$C$5:$C$16,MATCH(A19,'SLA Targets'!$A$5:$A$16,0))</f>
        <v/>
      </c>
      <c r="I19" s="9">
        <f>INDEX('SLA Targets'!$D$5:$D$16,MATCH(A19,'SLA Targets'!$A$5:$A$16,0))</f>
        <v/>
      </c>
      <c r="J19" s="10">
        <f>INDEX('SLA Targets'!$E$5:$E$16,MATCH(A19,'SLA Targets'!$A$5:$A$16,0))</f>
        <v/>
      </c>
      <c r="K19" s="9">
        <f>INDEX('SLA Targets'!$F$5:$F$16,MATCH(A19,'SLA Targets'!$A$5:$A$16,0))</f>
        <v/>
      </c>
      <c r="L19" s="11">
        <f>IF(B19&gt;=G19,"Met","Miss")</f>
        <v/>
      </c>
      <c r="M19" s="11">
        <f>IF(C19&gt;=H19,"Met","Miss")</f>
        <v/>
      </c>
      <c r="N19" s="11">
        <f>IF(D19&gt;=I19,"Met","Miss")</f>
        <v/>
      </c>
      <c r="O19" s="11">
        <f>IF(E19&lt;=J19,"Met","Miss")</f>
        <v/>
      </c>
      <c r="P19" s="11">
        <f>IF(F19&lt;=K19,"Met","Miss")</f>
        <v/>
      </c>
      <c r="Q19" s="11">
        <f>COUNTIF(L19:P19,"Met")</f>
        <v/>
      </c>
      <c r="R19" s="9">
        <f>Q19/5</f>
        <v/>
      </c>
      <c r="S19" s="12">
        <f>IF(L19="Miss",INDEX('SLA Targets'!$G$5:$G$16,MATCH(A19,'SLA Targets'!$A$5:$A$16,0)),0)</f>
        <v/>
      </c>
      <c r="T19" s="11">
        <f>IF(R19=1,"Green",IF(R19&gt;=0.6,"Amber","Red"))</f>
        <v/>
      </c>
    </row>
    <row r="20">
      <c r="A20" s="13" t="inlineStr">
        <is>
          <t>Shoprite Surveys</t>
        </is>
      </c>
      <c r="B20" s="14">
        <f>AVERAGEIFS('SLA Actuals'!$C$5:$C$76,'SLA Actuals'!$A$5:$A$76,A20,'SLA Actuals'!$B$5:$B$76,"Jul-26")</f>
        <v/>
      </c>
      <c r="C20" s="14">
        <f>AVERAGEIFS('SLA Actuals'!$D$5:$D$76,'SLA Actuals'!$A$5:$A$76,A20,'SLA Actuals'!$B$5:$B$76,"Jul-26")</f>
        <v/>
      </c>
      <c r="D20" s="14">
        <f>AVERAGEIFS('SLA Actuals'!$E$5:$E$76,'SLA Actuals'!$A$5:$A$76,A20,'SLA Actuals'!$B$5:$B$76,"Jul-26")</f>
        <v/>
      </c>
      <c r="E20" s="15">
        <f>AVERAGEIFS('SLA Actuals'!$F$5:$F$76,'SLA Actuals'!$A$5:$A$76,A20,'SLA Actuals'!$B$5:$B$76,"Jul-26")</f>
        <v/>
      </c>
      <c r="F20" s="14">
        <f>AVERAGEIFS('SLA Actuals'!$G$5:$G$76,'SLA Actuals'!$A$5:$A$76,A20,'SLA Actuals'!$B$5:$B$76,"Jul-26")</f>
        <v/>
      </c>
      <c r="G20" s="14">
        <f>INDEX('SLA Targets'!$B$5:$B$16,MATCH(A20,'SLA Targets'!$A$5:$A$16,0))</f>
        <v/>
      </c>
      <c r="H20" s="14">
        <f>INDEX('SLA Targets'!$C$5:$C$16,MATCH(A20,'SLA Targets'!$A$5:$A$16,0))</f>
        <v/>
      </c>
      <c r="I20" s="14">
        <f>INDEX('SLA Targets'!$D$5:$D$16,MATCH(A20,'SLA Targets'!$A$5:$A$16,0))</f>
        <v/>
      </c>
      <c r="J20" s="15">
        <f>INDEX('SLA Targets'!$E$5:$E$16,MATCH(A20,'SLA Targets'!$A$5:$A$16,0))</f>
        <v/>
      </c>
      <c r="K20" s="14">
        <f>INDEX('SLA Targets'!$F$5:$F$16,MATCH(A20,'SLA Targets'!$A$5:$A$16,0))</f>
        <v/>
      </c>
      <c r="L20" s="16">
        <f>IF(B20&gt;=G20,"Met","Miss")</f>
        <v/>
      </c>
      <c r="M20" s="16">
        <f>IF(C20&gt;=H20,"Met","Miss")</f>
        <v/>
      </c>
      <c r="N20" s="16">
        <f>IF(D20&gt;=I20,"Met","Miss")</f>
        <v/>
      </c>
      <c r="O20" s="16">
        <f>IF(E20&lt;=J20,"Met","Miss")</f>
        <v/>
      </c>
      <c r="P20" s="16">
        <f>IF(F20&lt;=K20,"Met","Miss")</f>
        <v/>
      </c>
      <c r="Q20" s="16">
        <f>COUNTIF(L20:P20,"Met")</f>
        <v/>
      </c>
      <c r="R20" s="14">
        <f>Q20/5</f>
        <v/>
      </c>
      <c r="S20" s="17">
        <f>IF(L20="Miss",INDEX('SLA Targets'!$G$5:$G$16,MATCH(A20,'SLA Targets'!$A$5:$A$16,0)),0)</f>
        <v/>
      </c>
      <c r="T20" s="16">
        <f>IF(R20=1,"Green",IF(R20&gt;=0.6,"Amber","Red"))</f>
        <v/>
      </c>
    </row>
    <row r="23" ht="22" customHeight="1">
      <c r="A23" s="18" t="inlineStr">
        <is>
          <t>Company Service-Level Trend (avg across campaigns)</t>
        </is>
      </c>
    </row>
    <row r="24" ht="30" customHeight="1">
      <c r="A24" s="7" t="inlineStr">
        <is>
          <t>Month</t>
        </is>
      </c>
      <c r="B24" s="7" t="inlineStr">
        <is>
          <t>Avg Service Level</t>
        </is>
      </c>
    </row>
    <row r="25">
      <c r="A25" s="8" t="inlineStr">
        <is>
          <t>Feb-26</t>
        </is>
      </c>
      <c r="B25" s="9">
        <f>AVERAGEIF('SLA Actuals'!$B$5:$B$76,A25,'SLA Actuals'!$C$5:$C$76)</f>
        <v/>
      </c>
    </row>
    <row r="26">
      <c r="A26" s="13" t="inlineStr">
        <is>
          <t>Mar-26</t>
        </is>
      </c>
      <c r="B26" s="14">
        <f>AVERAGEIF('SLA Actuals'!$B$5:$B$76,A26,'SLA Actuals'!$C$5:$C$76)</f>
        <v/>
      </c>
    </row>
    <row r="27">
      <c r="A27" s="8" t="inlineStr">
        <is>
          <t>Apr-26</t>
        </is>
      </c>
      <c r="B27" s="9">
        <f>AVERAGEIF('SLA Actuals'!$B$5:$B$76,A27,'SLA Actuals'!$C$5:$C$76)</f>
        <v/>
      </c>
    </row>
    <row r="28">
      <c r="A28" s="13" t="inlineStr">
        <is>
          <t>May-26</t>
        </is>
      </c>
      <c r="B28" s="14">
        <f>AVERAGEIF('SLA Actuals'!$B$5:$B$76,A28,'SLA Actuals'!$C$5:$C$76)</f>
        <v/>
      </c>
    </row>
    <row r="29">
      <c r="A29" s="8" t="inlineStr">
        <is>
          <t>Jun-26</t>
        </is>
      </c>
      <c r="B29" s="9">
        <f>AVERAGEIF('SLA Actuals'!$B$5:$B$76,A29,'SLA Actuals'!$C$5:$C$76)</f>
        <v/>
      </c>
    </row>
    <row r="30">
      <c r="A30" s="13" t="inlineStr">
        <is>
          <t>Jul-26</t>
        </is>
      </c>
      <c r="B30" s="14">
        <f>AVERAGEIF('SLA Actuals'!$B$5:$B$76,A30,'SLA Actuals'!$C$5:$C$76)</f>
        <v/>
      </c>
    </row>
  </sheetData>
  <mergeCells count="15">
    <mergeCell ref="A4:B4"/>
    <mergeCell ref="G4:H4"/>
    <mergeCell ref="E4:F4"/>
    <mergeCell ref="I4:J4"/>
    <mergeCell ref="A2:Q2"/>
    <mergeCell ref="A5:B6"/>
    <mergeCell ref="C5:D6"/>
    <mergeCell ref="E5:F6"/>
    <mergeCell ref="G5:H6"/>
    <mergeCell ref="I5:J6"/>
    <mergeCell ref="K5:L6"/>
    <mergeCell ref="K4:L4"/>
    <mergeCell ref="A23:E23"/>
    <mergeCell ref="A1:Q1"/>
    <mergeCell ref="C4:D4"/>
  </mergeCells>
  <conditionalFormatting sqref="L9:L20">
    <cfRule type="cellIs" priority="1" operator="equal" dxfId="0">
      <formula>"Met"</formula>
    </cfRule>
    <cfRule type="cellIs" priority="2" operator="equal" dxfId="1">
      <formula>"Miss"</formula>
    </cfRule>
  </conditionalFormatting>
  <conditionalFormatting sqref="M9:M20">
    <cfRule type="cellIs" priority="3" operator="equal" dxfId="0">
      <formula>"Met"</formula>
    </cfRule>
    <cfRule type="cellIs" priority="4" operator="equal" dxfId="1">
      <formula>"Miss"</formula>
    </cfRule>
  </conditionalFormatting>
  <conditionalFormatting sqref="N9:N20">
    <cfRule type="cellIs" priority="5" operator="equal" dxfId="0">
      <formula>"Met"</formula>
    </cfRule>
    <cfRule type="cellIs" priority="6" operator="equal" dxfId="1">
      <formula>"Miss"</formula>
    </cfRule>
  </conditionalFormatting>
  <conditionalFormatting sqref="O9:O20">
    <cfRule type="cellIs" priority="7" operator="equal" dxfId="0">
      <formula>"Met"</formula>
    </cfRule>
    <cfRule type="cellIs" priority="8" operator="equal" dxfId="1">
      <formula>"Miss"</formula>
    </cfRule>
  </conditionalFormatting>
  <conditionalFormatting sqref="P9:P20">
    <cfRule type="cellIs" priority="9" operator="equal" dxfId="0">
      <formula>"Met"</formula>
    </cfRule>
    <cfRule type="cellIs" priority="10" operator="equal" dxfId="1">
      <formula>"Miss"</formula>
    </cfRule>
  </conditionalFormatting>
  <conditionalFormatting sqref="T9:T20">
    <cfRule type="cellIs" priority="11" operator="equal" dxfId="0">
      <formula>"Green"</formula>
    </cfRule>
    <cfRule type="cellIs" priority="12" operator="equal" dxfId="2">
      <formula>"Amber"</formula>
    </cfRule>
    <cfRule type="cellIs" priority="13" operator="equal" dxfId="1">
      <formula>"Red"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9" customWidth="1" min="3" max="3"/>
    <col width="9" customWidth="1" min="4" max="4"/>
    <col width="9" customWidth="1" min="5" max="5"/>
    <col width="11" customWidth="1" min="6" max="6"/>
    <col width="17" customWidth="1" min="7" max="7"/>
  </cols>
  <sheetData>
    <row r="1" ht="30" customHeight="1">
      <c r="A1" s="1" t="inlineStr">
        <is>
          <t>Contractual SLA Targets by Campaign</t>
        </is>
      </c>
    </row>
    <row r="2">
      <c r="A2" s="2" t="inlineStr">
        <is>
          <t>The agreed thresholds each client campaign is measured against (editable inputs)</t>
        </is>
      </c>
    </row>
    <row r="4" ht="30" customHeight="1">
      <c r="A4" s="7" t="inlineStr">
        <is>
          <t>Campaign</t>
        </is>
      </c>
      <c r="B4" s="7" t="inlineStr">
        <is>
          <t>Service Level</t>
        </is>
      </c>
      <c r="C4" s="7" t="inlineStr">
        <is>
          <t>CSAT</t>
        </is>
      </c>
      <c r="D4" s="7" t="inlineStr">
        <is>
          <t>QA</t>
        </is>
      </c>
      <c r="E4" s="7" t="inlineStr">
        <is>
          <t>ASA (s)</t>
        </is>
      </c>
      <c r="F4" s="7" t="inlineStr">
        <is>
          <t>Abandon %</t>
        </is>
      </c>
      <c r="G4" s="7" t="inlineStr">
        <is>
          <t>Breach Penalty (R)</t>
        </is>
      </c>
    </row>
    <row r="5">
      <c r="A5" s="8" t="inlineStr">
        <is>
          <t>Vodacom Upgrades</t>
        </is>
      </c>
      <c r="B5" s="19" t="n">
        <v>0.8</v>
      </c>
      <c r="C5" s="19" t="n">
        <v>0.9</v>
      </c>
      <c r="D5" s="19" t="n">
        <v>0.92</v>
      </c>
      <c r="E5" s="20" t="n">
        <v>25</v>
      </c>
      <c r="F5" s="19" t="n">
        <v>0.05</v>
      </c>
      <c r="G5" s="21" t="n">
        <v>40000</v>
      </c>
    </row>
    <row r="6">
      <c r="A6" s="13" t="inlineStr">
        <is>
          <t>ABSA Collections</t>
        </is>
      </c>
      <c r="B6" s="19" t="n">
        <v>0.9</v>
      </c>
      <c r="C6" s="19" t="n">
        <v>0.9</v>
      </c>
      <c r="D6" s="19" t="n">
        <v>0.88</v>
      </c>
      <c r="E6" s="20" t="n">
        <v>30</v>
      </c>
      <c r="F6" s="19" t="n">
        <v>0.05</v>
      </c>
      <c r="G6" s="21" t="n">
        <v>40000</v>
      </c>
    </row>
    <row r="7">
      <c r="A7" s="8" t="inlineStr">
        <is>
          <t>MTN Retentions</t>
        </is>
      </c>
      <c r="B7" s="19" t="n">
        <v>0.85</v>
      </c>
      <c r="C7" s="19" t="n">
        <v>0.85</v>
      </c>
      <c r="D7" s="19" t="n">
        <v>0.9</v>
      </c>
      <c r="E7" s="20" t="n">
        <v>25</v>
      </c>
      <c r="F7" s="19" t="n">
        <v>0.03</v>
      </c>
      <c r="G7" s="21" t="n">
        <v>40000</v>
      </c>
    </row>
    <row r="8">
      <c r="A8" s="13" t="inlineStr">
        <is>
          <t>Takealot Care</t>
        </is>
      </c>
      <c r="B8" s="19" t="n">
        <v>0.8</v>
      </c>
      <c r="C8" s="19" t="n">
        <v>0.88</v>
      </c>
      <c r="D8" s="19" t="n">
        <v>0.9</v>
      </c>
      <c r="E8" s="20" t="n">
        <v>20</v>
      </c>
      <c r="F8" s="19" t="n">
        <v>0.05</v>
      </c>
      <c r="G8" s="21" t="n">
        <v>40000</v>
      </c>
    </row>
    <row r="9">
      <c r="A9" s="8" t="inlineStr">
        <is>
          <t>Telkom Tech Support</t>
        </is>
      </c>
      <c r="B9" s="19" t="n">
        <v>0.85</v>
      </c>
      <c r="C9" s="19" t="n">
        <v>0.9</v>
      </c>
      <c r="D9" s="19" t="n">
        <v>0.9</v>
      </c>
      <c r="E9" s="20" t="n">
        <v>25</v>
      </c>
      <c r="F9" s="19" t="n">
        <v>0.05</v>
      </c>
      <c r="G9" s="21" t="n">
        <v>40000</v>
      </c>
    </row>
    <row r="10">
      <c r="A10" s="13" t="inlineStr">
        <is>
          <t>Nedbank Debt Review</t>
        </is>
      </c>
      <c r="B10" s="19" t="n">
        <v>0.9</v>
      </c>
      <c r="C10" s="19" t="n">
        <v>0.88</v>
      </c>
      <c r="D10" s="19" t="n">
        <v>0.88</v>
      </c>
      <c r="E10" s="20" t="n">
        <v>30</v>
      </c>
      <c r="F10" s="19" t="n">
        <v>0.05</v>
      </c>
      <c r="G10" s="21" t="n">
        <v>25000</v>
      </c>
    </row>
    <row r="11">
      <c r="A11" s="8" t="inlineStr">
        <is>
          <t>DStv Upsell</t>
        </is>
      </c>
      <c r="B11" s="19" t="n">
        <v>0.85</v>
      </c>
      <c r="C11" s="19" t="n">
        <v>0.88</v>
      </c>
      <c r="D11" s="19" t="n">
        <v>0.9</v>
      </c>
      <c r="E11" s="20" t="n">
        <v>20</v>
      </c>
      <c r="F11" s="19" t="n">
        <v>0.05</v>
      </c>
      <c r="G11" s="21" t="n">
        <v>40000</v>
      </c>
    </row>
    <row r="12">
      <c r="A12" s="13" t="inlineStr">
        <is>
          <t>Discovery Lead Gen</t>
        </is>
      </c>
      <c r="B12" s="19" t="n">
        <v>0.9</v>
      </c>
      <c r="C12" s="19" t="n">
        <v>0.85</v>
      </c>
      <c r="D12" s="19" t="n">
        <v>0.9</v>
      </c>
      <c r="E12" s="20" t="n">
        <v>25</v>
      </c>
      <c r="F12" s="19" t="n">
        <v>0.05</v>
      </c>
      <c r="G12" s="21" t="n">
        <v>40000</v>
      </c>
    </row>
    <row r="13">
      <c r="A13" s="8" t="inlineStr">
        <is>
          <t>Cell C Winback</t>
        </is>
      </c>
      <c r="B13" s="19" t="n">
        <v>0.8</v>
      </c>
      <c r="C13" s="19" t="n">
        <v>0.85</v>
      </c>
      <c r="D13" s="19" t="n">
        <v>0.9</v>
      </c>
      <c r="E13" s="20" t="n">
        <v>30</v>
      </c>
      <c r="F13" s="19" t="n">
        <v>0.05</v>
      </c>
      <c r="G13" s="21" t="n">
        <v>25000</v>
      </c>
    </row>
    <row r="14">
      <c r="A14" s="13" t="inlineStr">
        <is>
          <t>OUTsurance Sales</t>
        </is>
      </c>
      <c r="B14" s="19" t="n">
        <v>0.85</v>
      </c>
      <c r="C14" s="19" t="n">
        <v>0.9</v>
      </c>
      <c r="D14" s="19" t="n">
        <v>0.9</v>
      </c>
      <c r="E14" s="20" t="n">
        <v>20</v>
      </c>
      <c r="F14" s="19" t="n">
        <v>0.05</v>
      </c>
      <c r="G14" s="21" t="n">
        <v>40000</v>
      </c>
    </row>
    <row r="15">
      <c r="A15" s="8" t="inlineStr">
        <is>
          <t>Standard Bank Helpdesk</t>
        </is>
      </c>
      <c r="B15" s="19" t="n">
        <v>0.85</v>
      </c>
      <c r="C15" s="19" t="n">
        <v>0.88</v>
      </c>
      <c r="D15" s="19" t="n">
        <v>0.9</v>
      </c>
      <c r="E15" s="20" t="n">
        <v>20</v>
      </c>
      <c r="F15" s="19" t="n">
        <v>0.05</v>
      </c>
      <c r="G15" s="21" t="n">
        <v>25000</v>
      </c>
    </row>
    <row r="16">
      <c r="A16" s="13" t="inlineStr">
        <is>
          <t>Shoprite Surveys</t>
        </is>
      </c>
      <c r="B16" s="19" t="n">
        <v>0.8</v>
      </c>
      <c r="C16" s="19" t="n">
        <v>0.85</v>
      </c>
      <c r="D16" s="19" t="n">
        <v>0.9</v>
      </c>
      <c r="E16" s="20" t="n">
        <v>30</v>
      </c>
      <c r="F16" s="19" t="n">
        <v>0.03</v>
      </c>
      <c r="G16" s="21" t="n">
        <v>40000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3" customWidth="1" min="3" max="3"/>
    <col width="9" customWidth="1" min="4" max="4"/>
    <col width="9" customWidth="1" min="5" max="5"/>
    <col width="9" customWidth="1" min="6" max="6"/>
    <col width="11" customWidth="1" min="7" max="7"/>
    <col width="9" customWidth="1" min="8" max="8"/>
  </cols>
  <sheetData>
    <row r="1" ht="30" customHeight="1">
      <c r="A1" s="1" t="inlineStr">
        <is>
          <t>Monthly SLA Actuals by Campaign</t>
        </is>
      </c>
    </row>
    <row r="2">
      <c r="A2" s="2" t="inlineStr">
        <is>
          <t>Delivered performance per campaign per month — the Scorecard compares the latest month to target</t>
        </is>
      </c>
    </row>
    <row r="4" ht="30" customHeight="1">
      <c r="A4" s="7" t="inlineStr">
        <is>
          <t>Campaign</t>
        </is>
      </c>
      <c r="B4" s="7" t="inlineStr">
        <is>
          <t>Month</t>
        </is>
      </c>
      <c r="C4" s="7" t="inlineStr">
        <is>
          <t>Service Level</t>
        </is>
      </c>
      <c r="D4" s="7" t="inlineStr">
        <is>
          <t>CSAT</t>
        </is>
      </c>
      <c r="E4" s="7" t="inlineStr">
        <is>
          <t>QA</t>
        </is>
      </c>
      <c r="F4" s="7" t="inlineStr">
        <is>
          <t>ASA (s)</t>
        </is>
      </c>
      <c r="G4" s="7" t="inlineStr">
        <is>
          <t>Abandon %</t>
        </is>
      </c>
      <c r="H4" s="7" t="inlineStr">
        <is>
          <t>FCR</t>
        </is>
      </c>
    </row>
    <row r="5">
      <c r="A5" s="8" t="inlineStr">
        <is>
          <t>Vodacom Upgrades</t>
        </is>
      </c>
      <c r="B5" s="11" t="inlineStr">
        <is>
          <t>Feb-26</t>
        </is>
      </c>
      <c r="C5" s="9" t="n">
        <v>0.952</v>
      </c>
      <c r="D5" s="9" t="n">
        <v>0.9350000000000001</v>
      </c>
      <c r="E5" s="9" t="n">
        <v>0.979</v>
      </c>
      <c r="F5" s="10" t="n">
        <v>41</v>
      </c>
      <c r="G5" s="9" t="n">
        <v>0.051</v>
      </c>
      <c r="H5" s="9" t="n">
        <v>0.897</v>
      </c>
    </row>
    <row r="6">
      <c r="A6" s="13" t="inlineStr">
        <is>
          <t>Vodacom Upgrades</t>
        </is>
      </c>
      <c r="B6" s="16" t="inlineStr">
        <is>
          <t>Mar-26</t>
        </is>
      </c>
      <c r="C6" s="14" t="n">
        <v>0.763</v>
      </c>
      <c r="D6" s="14" t="n">
        <v>0.9370000000000001</v>
      </c>
      <c r="E6" s="14" t="n">
        <v>0.9409999999999999</v>
      </c>
      <c r="F6" s="15" t="n">
        <v>14</v>
      </c>
      <c r="G6" s="14" t="n">
        <v>0.023</v>
      </c>
      <c r="H6" s="14" t="n">
        <v>0.824</v>
      </c>
    </row>
    <row r="7">
      <c r="A7" s="8" t="inlineStr">
        <is>
          <t>Vodacom Upgrades</t>
        </is>
      </c>
      <c r="B7" s="11" t="inlineStr">
        <is>
          <t>Apr-26</t>
        </is>
      </c>
      <c r="C7" s="9" t="n">
        <v>0.802</v>
      </c>
      <c r="D7" s="9" t="n">
        <v>0.787</v>
      </c>
      <c r="E7" s="9" t="n">
        <v>0.857</v>
      </c>
      <c r="F7" s="10" t="n">
        <v>16</v>
      </c>
      <c r="G7" s="9" t="n">
        <v>0.078</v>
      </c>
      <c r="H7" s="9" t="n">
        <v>0.883</v>
      </c>
    </row>
    <row r="8">
      <c r="A8" s="13" t="inlineStr">
        <is>
          <t>Vodacom Upgrades</t>
        </is>
      </c>
      <c r="B8" s="16" t="inlineStr">
        <is>
          <t>May-26</t>
        </is>
      </c>
      <c r="C8" s="14" t="n">
        <v>0.871</v>
      </c>
      <c r="D8" s="14" t="n">
        <v>0.833</v>
      </c>
      <c r="E8" s="14" t="n">
        <v>0.856</v>
      </c>
      <c r="F8" s="15" t="n">
        <v>37</v>
      </c>
      <c r="G8" s="14" t="n">
        <v>0.033</v>
      </c>
      <c r="H8" s="14" t="n">
        <v>0.797</v>
      </c>
    </row>
    <row r="9">
      <c r="A9" s="8" t="inlineStr">
        <is>
          <t>Vodacom Upgrades</t>
        </is>
      </c>
      <c r="B9" s="11" t="inlineStr">
        <is>
          <t>Jun-26</t>
        </is>
      </c>
      <c r="C9" s="9" t="n">
        <v>0.8100000000000001</v>
      </c>
      <c r="D9" s="9" t="n">
        <v>0.885</v>
      </c>
      <c r="E9" s="9" t="n">
        <v>0.853</v>
      </c>
      <c r="F9" s="10" t="n">
        <v>16</v>
      </c>
      <c r="G9" s="9" t="n">
        <v>0.041</v>
      </c>
      <c r="H9" s="9" t="n">
        <v>0.833</v>
      </c>
    </row>
    <row r="10">
      <c r="A10" s="13" t="inlineStr">
        <is>
          <t>Vodacom Upgrades</t>
        </is>
      </c>
      <c r="B10" s="16" t="inlineStr">
        <is>
          <t>Jul-26</t>
        </is>
      </c>
      <c r="C10" s="14" t="n">
        <v>0.9360000000000001</v>
      </c>
      <c r="D10" s="14" t="n">
        <v>0.89</v>
      </c>
      <c r="E10" s="14" t="n">
        <v>0.874</v>
      </c>
      <c r="F10" s="15" t="n">
        <v>16</v>
      </c>
      <c r="G10" s="14" t="n">
        <v>0.023</v>
      </c>
      <c r="H10" s="14" t="n">
        <v>0.739</v>
      </c>
    </row>
    <row r="11">
      <c r="A11" s="8" t="inlineStr">
        <is>
          <t>ABSA Collections</t>
        </is>
      </c>
      <c r="B11" s="11" t="inlineStr">
        <is>
          <t>Feb-26</t>
        </is>
      </c>
      <c r="C11" s="9" t="n">
        <v>0.754</v>
      </c>
      <c r="D11" s="9" t="n">
        <v>0.952</v>
      </c>
      <c r="E11" s="9" t="n">
        <v>0.837</v>
      </c>
      <c r="F11" s="10" t="n">
        <v>23</v>
      </c>
      <c r="G11" s="9" t="n">
        <v>0.078</v>
      </c>
      <c r="H11" s="9" t="n">
        <v>0.726</v>
      </c>
    </row>
    <row r="12">
      <c r="A12" s="13" t="inlineStr">
        <is>
          <t>ABSA Collections</t>
        </is>
      </c>
      <c r="B12" s="16" t="inlineStr">
        <is>
          <t>Mar-26</t>
        </is>
      </c>
      <c r="C12" s="14" t="n">
        <v>0.86</v>
      </c>
      <c r="D12" s="14" t="n">
        <v>0.92</v>
      </c>
      <c r="E12" s="14" t="n">
        <v>0.873</v>
      </c>
      <c r="F12" s="15" t="n">
        <v>14</v>
      </c>
      <c r="G12" s="14" t="n">
        <v>0.066</v>
      </c>
      <c r="H12" s="14" t="n">
        <v>0.738</v>
      </c>
    </row>
    <row r="13">
      <c r="A13" s="8" t="inlineStr">
        <is>
          <t>ABSA Collections</t>
        </is>
      </c>
      <c r="B13" s="11" t="inlineStr">
        <is>
          <t>Apr-26</t>
        </is>
      </c>
      <c r="C13" s="9" t="n">
        <v>0.901</v>
      </c>
      <c r="D13" s="9" t="n">
        <v>0.788</v>
      </c>
      <c r="E13" s="9" t="n">
        <v>0.865</v>
      </c>
      <c r="F13" s="10" t="n">
        <v>28</v>
      </c>
      <c r="G13" s="9" t="n">
        <v>0.067</v>
      </c>
      <c r="H13" s="9" t="n">
        <v>0.743</v>
      </c>
    </row>
    <row r="14">
      <c r="A14" s="13" t="inlineStr">
        <is>
          <t>ABSA Collections</t>
        </is>
      </c>
      <c r="B14" s="16" t="inlineStr">
        <is>
          <t>May-26</t>
        </is>
      </c>
      <c r="C14" s="14" t="n">
        <v>0.92</v>
      </c>
      <c r="D14" s="14" t="n">
        <v>0.889</v>
      </c>
      <c r="E14" s="14" t="n">
        <v>0.928</v>
      </c>
      <c r="F14" s="15" t="n">
        <v>33</v>
      </c>
      <c r="G14" s="14" t="n">
        <v>0.04</v>
      </c>
      <c r="H14" s="14" t="n">
        <v>0.888</v>
      </c>
    </row>
    <row r="15">
      <c r="A15" s="8" t="inlineStr">
        <is>
          <t>ABSA Collections</t>
        </is>
      </c>
      <c r="B15" s="11" t="inlineStr">
        <is>
          <t>Jun-26</t>
        </is>
      </c>
      <c r="C15" s="9" t="n">
        <v>0.786</v>
      </c>
      <c r="D15" s="9" t="n">
        <v>0.877</v>
      </c>
      <c r="E15" s="9" t="n">
        <v>0.9360000000000001</v>
      </c>
      <c r="F15" s="10" t="n">
        <v>37</v>
      </c>
      <c r="G15" s="9" t="n">
        <v>0.043</v>
      </c>
      <c r="H15" s="9" t="n">
        <v>0.8110000000000001</v>
      </c>
    </row>
    <row r="16">
      <c r="A16" s="13" t="inlineStr">
        <is>
          <t>ABSA Collections</t>
        </is>
      </c>
      <c r="B16" s="16" t="inlineStr">
        <is>
          <t>Jul-26</t>
        </is>
      </c>
      <c r="C16" s="14" t="n">
        <v>0.778</v>
      </c>
      <c r="D16" s="14" t="n">
        <v>0.783</v>
      </c>
      <c r="E16" s="14" t="n">
        <v>0.967</v>
      </c>
      <c r="F16" s="15" t="n">
        <v>33</v>
      </c>
      <c r="G16" s="14" t="n">
        <v>0.05</v>
      </c>
      <c r="H16" s="14" t="n">
        <v>0.764</v>
      </c>
    </row>
    <row r="17">
      <c r="A17" s="8" t="inlineStr">
        <is>
          <t>MTN Retentions</t>
        </is>
      </c>
      <c r="B17" s="11" t="inlineStr">
        <is>
          <t>Feb-26</t>
        </is>
      </c>
      <c r="C17" s="9" t="n">
        <v>0.875</v>
      </c>
      <c r="D17" s="9" t="n">
        <v>0.925</v>
      </c>
      <c r="E17" s="9" t="n">
        <v>0.924</v>
      </c>
      <c r="F17" s="10" t="n">
        <v>15</v>
      </c>
      <c r="G17" s="9" t="n">
        <v>0.05</v>
      </c>
      <c r="H17" s="9" t="n">
        <v>0.887</v>
      </c>
    </row>
    <row r="18">
      <c r="A18" s="13" t="inlineStr">
        <is>
          <t>MTN Retentions</t>
        </is>
      </c>
      <c r="B18" s="16" t="inlineStr">
        <is>
          <t>Mar-26</t>
        </is>
      </c>
      <c r="C18" s="14" t="n">
        <v>0.787</v>
      </c>
      <c r="D18" s="14" t="n">
        <v>0.843</v>
      </c>
      <c r="E18" s="14" t="n">
        <v>0.925</v>
      </c>
      <c r="F18" s="15" t="n">
        <v>37</v>
      </c>
      <c r="G18" s="14" t="n">
        <v>0.037</v>
      </c>
      <c r="H18" s="14" t="n">
        <v>0.917</v>
      </c>
    </row>
    <row r="19">
      <c r="A19" s="8" t="inlineStr">
        <is>
          <t>MTN Retentions</t>
        </is>
      </c>
      <c r="B19" s="11" t="inlineStr">
        <is>
          <t>Apr-26</t>
        </is>
      </c>
      <c r="C19" s="9" t="n">
        <v>0.78</v>
      </c>
      <c r="D19" s="9" t="n">
        <v>0.877</v>
      </c>
      <c r="E19" s="9" t="n">
        <v>0.893</v>
      </c>
      <c r="F19" s="10" t="n">
        <v>17</v>
      </c>
      <c r="G19" s="9" t="n">
        <v>0.045</v>
      </c>
      <c r="H19" s="9" t="n">
        <v>0.894</v>
      </c>
    </row>
    <row r="20">
      <c r="A20" s="13" t="inlineStr">
        <is>
          <t>MTN Retentions</t>
        </is>
      </c>
      <c r="B20" s="16" t="inlineStr">
        <is>
          <t>May-26</t>
        </is>
      </c>
      <c r="C20" s="14" t="n">
        <v>0.868</v>
      </c>
      <c r="D20" s="14" t="n">
        <v>0.922</v>
      </c>
      <c r="E20" s="14" t="n">
        <v>0.829</v>
      </c>
      <c r="F20" s="15" t="n">
        <v>44</v>
      </c>
      <c r="G20" s="14" t="n">
        <v>0.038</v>
      </c>
      <c r="H20" s="14" t="n">
        <v>0.897</v>
      </c>
    </row>
    <row r="21">
      <c r="A21" s="8" t="inlineStr">
        <is>
          <t>MTN Retentions</t>
        </is>
      </c>
      <c r="B21" s="11" t="inlineStr">
        <is>
          <t>Jun-26</t>
        </is>
      </c>
      <c r="C21" s="9" t="n">
        <v>0.902</v>
      </c>
      <c r="D21" s="9" t="n">
        <v>0.855</v>
      </c>
      <c r="E21" s="9" t="n">
        <v>0.921</v>
      </c>
      <c r="F21" s="10" t="n">
        <v>45</v>
      </c>
      <c r="G21" s="9" t="n">
        <v>0.058</v>
      </c>
      <c r="H21" s="9" t="n">
        <v>0.863</v>
      </c>
    </row>
    <row r="22">
      <c r="A22" s="13" t="inlineStr">
        <is>
          <t>MTN Retentions</t>
        </is>
      </c>
      <c r="B22" s="16" t="inlineStr">
        <is>
          <t>Jul-26</t>
        </is>
      </c>
      <c r="C22" s="14" t="n">
        <v>0.897</v>
      </c>
      <c r="D22" s="14" t="n">
        <v>0.856</v>
      </c>
      <c r="E22" s="14" t="n">
        <v>0.854</v>
      </c>
      <c r="F22" s="15" t="n">
        <v>41</v>
      </c>
      <c r="G22" s="14" t="n">
        <v>0.051</v>
      </c>
      <c r="H22" s="14" t="n">
        <v>0.86</v>
      </c>
    </row>
    <row r="23">
      <c r="A23" s="8" t="inlineStr">
        <is>
          <t>Takealot Care</t>
        </is>
      </c>
      <c r="B23" s="11" t="inlineStr">
        <is>
          <t>Feb-26</t>
        </is>
      </c>
      <c r="C23" s="9" t="n">
        <v>0.843</v>
      </c>
      <c r="D23" s="9" t="n">
        <v>0.8139999999999999</v>
      </c>
      <c r="E23" s="9" t="n">
        <v>0.845</v>
      </c>
      <c r="F23" s="10" t="n">
        <v>39</v>
      </c>
      <c r="G23" s="9" t="n">
        <v>0.049</v>
      </c>
      <c r="H23" s="9" t="n">
        <v>0.863</v>
      </c>
    </row>
    <row r="24">
      <c r="A24" s="13" t="inlineStr">
        <is>
          <t>Takealot Care</t>
        </is>
      </c>
      <c r="B24" s="16" t="inlineStr">
        <is>
          <t>Mar-26</t>
        </is>
      </c>
      <c r="C24" s="14" t="n">
        <v>0.911</v>
      </c>
      <c r="D24" s="14" t="n">
        <v>0.891</v>
      </c>
      <c r="E24" s="14" t="n">
        <v>0.904</v>
      </c>
      <c r="F24" s="15" t="n">
        <v>37</v>
      </c>
      <c r="G24" s="14" t="n">
        <v>0.08400000000000001</v>
      </c>
      <c r="H24" s="14" t="n">
        <v>0.726</v>
      </c>
    </row>
    <row r="25">
      <c r="A25" s="8" t="inlineStr">
        <is>
          <t>Takealot Care</t>
        </is>
      </c>
      <c r="B25" s="11" t="inlineStr">
        <is>
          <t>Apr-26</t>
        </is>
      </c>
      <c r="C25" s="9" t="n">
        <v>0.844</v>
      </c>
      <c r="D25" s="9" t="n">
        <v>0.954</v>
      </c>
      <c r="E25" s="9" t="n">
        <v>0.9399999999999999</v>
      </c>
      <c r="F25" s="10" t="n">
        <v>38</v>
      </c>
      <c r="G25" s="9" t="n">
        <v>0.075</v>
      </c>
      <c r="H25" s="9" t="n">
        <v>0.897</v>
      </c>
    </row>
    <row r="26">
      <c r="A26" s="13" t="inlineStr">
        <is>
          <t>Takealot Care</t>
        </is>
      </c>
      <c r="B26" s="16" t="inlineStr">
        <is>
          <t>May-26</t>
        </is>
      </c>
      <c r="C26" s="14" t="n">
        <v>0.764</v>
      </c>
      <c r="D26" s="14" t="n">
        <v>0.863</v>
      </c>
      <c r="E26" s="14" t="n">
        <v>0.9</v>
      </c>
      <c r="F26" s="15" t="n">
        <v>34</v>
      </c>
      <c r="G26" s="14" t="n">
        <v>0.056</v>
      </c>
      <c r="H26" s="14" t="n">
        <v>0.871</v>
      </c>
    </row>
    <row r="27">
      <c r="A27" s="8" t="inlineStr">
        <is>
          <t>Takealot Care</t>
        </is>
      </c>
      <c r="B27" s="11" t="inlineStr">
        <is>
          <t>Jun-26</t>
        </is>
      </c>
      <c r="C27" s="9" t="n">
        <v>0.931</v>
      </c>
      <c r="D27" s="9" t="n">
        <v>0.858</v>
      </c>
      <c r="E27" s="9" t="n">
        <v>0.949</v>
      </c>
      <c r="F27" s="10" t="n">
        <v>39</v>
      </c>
      <c r="G27" s="9" t="n">
        <v>0.08599999999999999</v>
      </c>
      <c r="H27" s="9" t="n">
        <v>0.832</v>
      </c>
    </row>
    <row r="28">
      <c r="A28" s="13" t="inlineStr">
        <is>
          <t>Takealot Care</t>
        </is>
      </c>
      <c r="B28" s="16" t="inlineStr">
        <is>
          <t>Jul-26</t>
        </is>
      </c>
      <c r="C28" s="14" t="n">
        <v>0.783</v>
      </c>
      <c r="D28" s="14" t="n">
        <v>0.839</v>
      </c>
      <c r="E28" s="14" t="n">
        <v>0.83</v>
      </c>
      <c r="F28" s="15" t="n">
        <v>41</v>
      </c>
      <c r="G28" s="14" t="n">
        <v>0.082</v>
      </c>
      <c r="H28" s="14" t="n">
        <v>0.727</v>
      </c>
    </row>
    <row r="29">
      <c r="A29" s="8" t="inlineStr">
        <is>
          <t>Telkom Tech Support</t>
        </is>
      </c>
      <c r="B29" s="11" t="inlineStr">
        <is>
          <t>Feb-26</t>
        </is>
      </c>
      <c r="C29" s="9" t="n">
        <v>0.847</v>
      </c>
      <c r="D29" s="9" t="n">
        <v>0.92</v>
      </c>
      <c r="E29" s="9" t="n">
        <v>0.959</v>
      </c>
      <c r="F29" s="10" t="n">
        <v>24</v>
      </c>
      <c r="G29" s="9" t="n">
        <v>0.055</v>
      </c>
      <c r="H29" s="9" t="n">
        <v>0.9320000000000001</v>
      </c>
    </row>
    <row r="30">
      <c r="A30" s="13" t="inlineStr">
        <is>
          <t>Telkom Tech Support</t>
        </is>
      </c>
      <c r="B30" s="16" t="inlineStr">
        <is>
          <t>Mar-26</t>
        </is>
      </c>
      <c r="C30" s="14" t="n">
        <v>0.762</v>
      </c>
      <c r="D30" s="14" t="n">
        <v>0.839</v>
      </c>
      <c r="E30" s="14" t="n">
        <v>0.98</v>
      </c>
      <c r="F30" s="15" t="n">
        <v>25</v>
      </c>
      <c r="G30" s="14" t="n">
        <v>0.051</v>
      </c>
      <c r="H30" s="14" t="n">
        <v>0.9399999999999999</v>
      </c>
    </row>
    <row r="31">
      <c r="A31" s="8" t="inlineStr">
        <is>
          <t>Telkom Tech Support</t>
        </is>
      </c>
      <c r="B31" s="11" t="inlineStr">
        <is>
          <t>Apr-26</t>
        </is>
      </c>
      <c r="C31" s="9" t="n">
        <v>0.795</v>
      </c>
      <c r="D31" s="9" t="n">
        <v>0.914</v>
      </c>
      <c r="E31" s="9" t="n">
        <v>0.947</v>
      </c>
      <c r="F31" s="10" t="n">
        <v>38</v>
      </c>
      <c r="G31" s="9" t="n">
        <v>0.064</v>
      </c>
      <c r="H31" s="9" t="n">
        <v>0.864</v>
      </c>
    </row>
    <row r="32">
      <c r="A32" s="13" t="inlineStr">
        <is>
          <t>Telkom Tech Support</t>
        </is>
      </c>
      <c r="B32" s="16" t="inlineStr">
        <is>
          <t>May-26</t>
        </is>
      </c>
      <c r="C32" s="14" t="n">
        <v>0.892</v>
      </c>
      <c r="D32" s="14" t="n">
        <v>0.805</v>
      </c>
      <c r="E32" s="14" t="n">
        <v>0.833</v>
      </c>
      <c r="F32" s="15" t="n">
        <v>45</v>
      </c>
      <c r="G32" s="14" t="n">
        <v>0.051</v>
      </c>
      <c r="H32" s="14" t="n">
        <v>0.841</v>
      </c>
    </row>
    <row r="33">
      <c r="A33" s="8" t="inlineStr">
        <is>
          <t>Telkom Tech Support</t>
        </is>
      </c>
      <c r="B33" s="11" t="inlineStr">
        <is>
          <t>Jun-26</t>
        </is>
      </c>
      <c r="C33" s="9" t="n">
        <v>0.885</v>
      </c>
      <c r="D33" s="9" t="n">
        <v>0.874</v>
      </c>
      <c r="E33" s="9" t="n">
        <v>0.911</v>
      </c>
      <c r="F33" s="10" t="n">
        <v>40</v>
      </c>
      <c r="G33" s="9" t="n">
        <v>0.025</v>
      </c>
      <c r="H33" s="9" t="n">
        <v>0.865</v>
      </c>
    </row>
    <row r="34">
      <c r="A34" s="13" t="inlineStr">
        <is>
          <t>Telkom Tech Support</t>
        </is>
      </c>
      <c r="B34" s="16" t="inlineStr">
        <is>
          <t>Jul-26</t>
        </is>
      </c>
      <c r="C34" s="14" t="n">
        <v>0.84</v>
      </c>
      <c r="D34" s="14" t="n">
        <v>0.924</v>
      </c>
      <c r="E34" s="14" t="n">
        <v>0.979</v>
      </c>
      <c r="F34" s="15" t="n">
        <v>36</v>
      </c>
      <c r="G34" s="14" t="n">
        <v>0.075</v>
      </c>
      <c r="H34" s="14" t="n">
        <v>0.738</v>
      </c>
    </row>
    <row r="35">
      <c r="A35" s="8" t="inlineStr">
        <is>
          <t>Nedbank Debt Review</t>
        </is>
      </c>
      <c r="B35" s="11" t="inlineStr">
        <is>
          <t>Feb-26</t>
        </is>
      </c>
      <c r="C35" s="9" t="n">
        <v>0.8179999999999999</v>
      </c>
      <c r="D35" s="9" t="n">
        <v>0.902</v>
      </c>
      <c r="E35" s="9" t="n">
        <v>0.863</v>
      </c>
      <c r="F35" s="10" t="n">
        <v>16</v>
      </c>
      <c r="G35" s="9" t="n">
        <v>0.054</v>
      </c>
      <c r="H35" s="9" t="n">
        <v>0.745</v>
      </c>
    </row>
    <row r="36">
      <c r="A36" s="13" t="inlineStr">
        <is>
          <t>Nedbank Debt Review</t>
        </is>
      </c>
      <c r="B36" s="16" t="inlineStr">
        <is>
          <t>Mar-26</t>
        </is>
      </c>
      <c r="C36" s="14" t="n">
        <v>0.908</v>
      </c>
      <c r="D36" s="14" t="n">
        <v>0.9389999999999999</v>
      </c>
      <c r="E36" s="14" t="n">
        <v>0.886</v>
      </c>
      <c r="F36" s="15" t="n">
        <v>33</v>
      </c>
      <c r="G36" s="14" t="n">
        <v>0.05</v>
      </c>
      <c r="H36" s="14" t="n">
        <v>0.855</v>
      </c>
    </row>
    <row r="37">
      <c r="A37" s="8" t="inlineStr">
        <is>
          <t>Nedbank Debt Review</t>
        </is>
      </c>
      <c r="B37" s="11" t="inlineStr">
        <is>
          <t>Apr-26</t>
        </is>
      </c>
      <c r="C37" s="9" t="n">
        <v>0.881</v>
      </c>
      <c r="D37" s="9" t="n">
        <v>0.877</v>
      </c>
      <c r="E37" s="9" t="n">
        <v>0.961</v>
      </c>
      <c r="F37" s="10" t="n">
        <v>42</v>
      </c>
      <c r="G37" s="9" t="n">
        <v>0.065</v>
      </c>
      <c r="H37" s="9" t="n">
        <v>0.835</v>
      </c>
    </row>
    <row r="38">
      <c r="A38" s="13" t="inlineStr">
        <is>
          <t>Nedbank Debt Review</t>
        </is>
      </c>
      <c r="B38" s="16" t="inlineStr">
        <is>
          <t>May-26</t>
        </is>
      </c>
      <c r="C38" s="14" t="n">
        <v>0.8149999999999999</v>
      </c>
      <c r="D38" s="14" t="n">
        <v>0.82</v>
      </c>
      <c r="E38" s="14" t="n">
        <v>0.898</v>
      </c>
      <c r="F38" s="15" t="n">
        <v>28</v>
      </c>
      <c r="G38" s="14" t="n">
        <v>0.035</v>
      </c>
      <c r="H38" s="14" t="n">
        <v>0.837</v>
      </c>
    </row>
    <row r="39">
      <c r="A39" s="8" t="inlineStr">
        <is>
          <t>Nedbank Debt Review</t>
        </is>
      </c>
      <c r="B39" s="11" t="inlineStr">
        <is>
          <t>Jun-26</t>
        </is>
      </c>
      <c r="C39" s="9" t="n">
        <v>0.854</v>
      </c>
      <c r="D39" s="9" t="n">
        <v>0.855</v>
      </c>
      <c r="E39" s="9" t="n">
        <v>0.92</v>
      </c>
      <c r="F39" s="10" t="n">
        <v>26</v>
      </c>
      <c r="G39" s="9" t="n">
        <v>0.074</v>
      </c>
      <c r="H39" s="9" t="n">
        <v>0.757</v>
      </c>
    </row>
    <row r="40">
      <c r="A40" s="13" t="inlineStr">
        <is>
          <t>Nedbank Debt Review</t>
        </is>
      </c>
      <c r="B40" s="16" t="inlineStr">
        <is>
          <t>Jul-26</t>
        </is>
      </c>
      <c r="C40" s="14" t="n">
        <v>0.883</v>
      </c>
      <c r="D40" s="14" t="n">
        <v>0.789</v>
      </c>
      <c r="E40" s="14" t="n">
        <v>0.975</v>
      </c>
      <c r="F40" s="15" t="n">
        <v>19</v>
      </c>
      <c r="G40" s="14" t="n">
        <v>0.062</v>
      </c>
      <c r="H40" s="14" t="n">
        <v>0.918</v>
      </c>
    </row>
    <row r="41">
      <c r="A41" s="8" t="inlineStr">
        <is>
          <t>DStv Upsell</t>
        </is>
      </c>
      <c r="B41" s="11" t="inlineStr">
        <is>
          <t>Feb-26</t>
        </is>
      </c>
      <c r="C41" s="9" t="n">
        <v>0.861</v>
      </c>
      <c r="D41" s="9" t="n">
        <v>0.854</v>
      </c>
      <c r="E41" s="9" t="n">
        <v>0.963</v>
      </c>
      <c r="F41" s="10" t="n">
        <v>45</v>
      </c>
      <c r="G41" s="9" t="n">
        <v>0.05</v>
      </c>
      <c r="H41" s="9" t="n">
        <v>0.851</v>
      </c>
    </row>
    <row r="42">
      <c r="A42" s="13" t="inlineStr">
        <is>
          <t>DStv Upsell</t>
        </is>
      </c>
      <c r="B42" s="16" t="inlineStr">
        <is>
          <t>Mar-26</t>
        </is>
      </c>
      <c r="C42" s="14" t="n">
        <v>0.905</v>
      </c>
      <c r="D42" s="14" t="n">
        <v>0.903</v>
      </c>
      <c r="E42" s="14" t="n">
        <v>0.911</v>
      </c>
      <c r="F42" s="15" t="n">
        <v>18</v>
      </c>
      <c r="G42" s="14" t="n">
        <v>0.025</v>
      </c>
      <c r="H42" s="14" t="n">
        <v>0.767</v>
      </c>
    </row>
    <row r="43">
      <c r="A43" s="8" t="inlineStr">
        <is>
          <t>DStv Upsell</t>
        </is>
      </c>
      <c r="B43" s="11" t="inlineStr">
        <is>
          <t>Apr-26</t>
        </is>
      </c>
      <c r="C43" s="9" t="n">
        <v>0.923</v>
      </c>
      <c r="D43" s="9" t="n">
        <v>0.954</v>
      </c>
      <c r="E43" s="9" t="n">
        <v>0.93</v>
      </c>
      <c r="F43" s="10" t="n">
        <v>38</v>
      </c>
      <c r="G43" s="9" t="n">
        <v>0.052</v>
      </c>
      <c r="H43" s="9" t="n">
        <v>0.8090000000000001</v>
      </c>
    </row>
    <row r="44">
      <c r="A44" s="13" t="inlineStr">
        <is>
          <t>DStv Upsell</t>
        </is>
      </c>
      <c r="B44" s="16" t="inlineStr">
        <is>
          <t>May-26</t>
        </is>
      </c>
      <c r="C44" s="14" t="n">
        <v>0.83</v>
      </c>
      <c r="D44" s="14" t="n">
        <v>0.872</v>
      </c>
      <c r="E44" s="14" t="n">
        <v>0.979</v>
      </c>
      <c r="F44" s="15" t="n">
        <v>45</v>
      </c>
      <c r="G44" s="14" t="n">
        <v>0.08400000000000001</v>
      </c>
      <c r="H44" s="14" t="n">
        <v>0.866</v>
      </c>
    </row>
    <row r="45">
      <c r="A45" s="8" t="inlineStr">
        <is>
          <t>DStv Upsell</t>
        </is>
      </c>
      <c r="B45" s="11" t="inlineStr">
        <is>
          <t>Jun-26</t>
        </is>
      </c>
      <c r="C45" s="9" t="n">
        <v>0.794</v>
      </c>
      <c r="D45" s="9" t="n">
        <v>0.801</v>
      </c>
      <c r="E45" s="9" t="n">
        <v>0.914</v>
      </c>
      <c r="F45" s="10" t="n">
        <v>28</v>
      </c>
      <c r="G45" s="9" t="n">
        <v>0.037</v>
      </c>
      <c r="H45" s="9" t="n">
        <v>0.803</v>
      </c>
    </row>
    <row r="46">
      <c r="A46" s="13" t="inlineStr">
        <is>
          <t>DStv Upsell</t>
        </is>
      </c>
      <c r="B46" s="16" t="inlineStr">
        <is>
          <t>Jul-26</t>
        </is>
      </c>
      <c r="C46" s="14" t="n">
        <v>0.778</v>
      </c>
      <c r="D46" s="14" t="n">
        <v>0.913</v>
      </c>
      <c r="E46" s="14" t="n">
        <v>0.868</v>
      </c>
      <c r="F46" s="15" t="n">
        <v>31</v>
      </c>
      <c r="G46" s="14" t="n">
        <v>0.058</v>
      </c>
      <c r="H46" s="14" t="n">
        <v>0.8100000000000001</v>
      </c>
    </row>
    <row r="47">
      <c r="A47" s="8" t="inlineStr">
        <is>
          <t>Discovery Lead Gen</t>
        </is>
      </c>
      <c r="B47" s="11" t="inlineStr">
        <is>
          <t>Feb-26</t>
        </is>
      </c>
      <c r="C47" s="9" t="n">
        <v>0.856</v>
      </c>
      <c r="D47" s="9" t="n">
        <v>0.911</v>
      </c>
      <c r="E47" s="9" t="n">
        <v>0.919</v>
      </c>
      <c r="F47" s="10" t="n">
        <v>35</v>
      </c>
      <c r="G47" s="9" t="n">
        <v>0.068</v>
      </c>
      <c r="H47" s="9" t="n">
        <v>0.803</v>
      </c>
    </row>
    <row r="48">
      <c r="A48" s="13" t="inlineStr">
        <is>
          <t>Discovery Lead Gen</t>
        </is>
      </c>
      <c r="B48" s="16" t="inlineStr">
        <is>
          <t>Mar-26</t>
        </is>
      </c>
      <c r="C48" s="14" t="n">
        <v>0.752</v>
      </c>
      <c r="D48" s="14" t="n">
        <v>0.919</v>
      </c>
      <c r="E48" s="14" t="n">
        <v>0.956</v>
      </c>
      <c r="F48" s="15" t="n">
        <v>14</v>
      </c>
      <c r="G48" s="14" t="n">
        <v>0.06</v>
      </c>
      <c r="H48" s="14" t="n">
        <v>0.82</v>
      </c>
    </row>
    <row r="49">
      <c r="A49" s="8" t="inlineStr">
        <is>
          <t>Discovery Lead Gen</t>
        </is>
      </c>
      <c r="B49" s="11" t="inlineStr">
        <is>
          <t>Apr-26</t>
        </is>
      </c>
      <c r="C49" s="9" t="n">
        <v>0.8120000000000001</v>
      </c>
      <c r="D49" s="9" t="n">
        <v>0.855</v>
      </c>
      <c r="E49" s="9" t="n">
        <v>0.88</v>
      </c>
      <c r="F49" s="10" t="n">
        <v>40</v>
      </c>
      <c r="G49" s="9" t="n">
        <v>0.063</v>
      </c>
      <c r="H49" s="9" t="n">
        <v>0.877</v>
      </c>
    </row>
    <row r="50">
      <c r="A50" s="13" t="inlineStr">
        <is>
          <t>Discovery Lead Gen</t>
        </is>
      </c>
      <c r="B50" s="16" t="inlineStr">
        <is>
          <t>May-26</t>
        </is>
      </c>
      <c r="C50" s="14" t="n">
        <v>0.91</v>
      </c>
      <c r="D50" s="14" t="n">
        <v>0.793</v>
      </c>
      <c r="E50" s="14" t="n">
        <v>0.85</v>
      </c>
      <c r="F50" s="15" t="n">
        <v>34</v>
      </c>
      <c r="G50" s="14" t="n">
        <v>0.051</v>
      </c>
      <c r="H50" s="14" t="n">
        <v>0.802</v>
      </c>
    </row>
    <row r="51">
      <c r="A51" s="8" t="inlineStr">
        <is>
          <t>Discovery Lead Gen</t>
        </is>
      </c>
      <c r="B51" s="11" t="inlineStr">
        <is>
          <t>Jun-26</t>
        </is>
      </c>
      <c r="C51" s="9" t="n">
        <v>0.883</v>
      </c>
      <c r="D51" s="9" t="n">
        <v>0.82</v>
      </c>
      <c r="E51" s="9" t="n">
        <v>0.858</v>
      </c>
      <c r="F51" s="10" t="n">
        <v>20</v>
      </c>
      <c r="G51" s="9" t="n">
        <v>0.063</v>
      </c>
      <c r="H51" s="9" t="n">
        <v>0.8139999999999999</v>
      </c>
    </row>
    <row r="52">
      <c r="A52" s="13" t="inlineStr">
        <is>
          <t>Discovery Lead Gen</t>
        </is>
      </c>
      <c r="B52" s="16" t="inlineStr">
        <is>
          <t>Jul-26</t>
        </is>
      </c>
      <c r="C52" s="14" t="n">
        <v>0.758</v>
      </c>
      <c r="D52" s="14" t="n">
        <v>0.921</v>
      </c>
      <c r="E52" s="14" t="n">
        <v>0.961</v>
      </c>
      <c r="F52" s="15" t="n">
        <v>41</v>
      </c>
      <c r="G52" s="14" t="n">
        <v>0.035</v>
      </c>
      <c r="H52" s="14" t="n">
        <v>0.851</v>
      </c>
    </row>
    <row r="53">
      <c r="A53" s="8" t="inlineStr">
        <is>
          <t>Cell C Winback</t>
        </is>
      </c>
      <c r="B53" s="11" t="inlineStr">
        <is>
          <t>Feb-26</t>
        </is>
      </c>
      <c r="C53" s="9" t="n">
        <v>0.907</v>
      </c>
      <c r="D53" s="9" t="n">
        <v>0.918</v>
      </c>
      <c r="E53" s="9" t="n">
        <v>0.9429999999999999</v>
      </c>
      <c r="F53" s="10" t="n">
        <v>43</v>
      </c>
      <c r="G53" s="9" t="n">
        <v>0.035</v>
      </c>
      <c r="H53" s="9" t="n">
        <v>0.929</v>
      </c>
    </row>
    <row r="54">
      <c r="A54" s="13" t="inlineStr">
        <is>
          <t>Cell C Winback</t>
        </is>
      </c>
      <c r="B54" s="16" t="inlineStr">
        <is>
          <t>Mar-26</t>
        </is>
      </c>
      <c r="C54" s="14" t="n">
        <v>0.9360000000000001</v>
      </c>
      <c r="D54" s="14" t="n">
        <v>0.844</v>
      </c>
      <c r="E54" s="14" t="n">
        <v>0.931</v>
      </c>
      <c r="F54" s="15" t="n">
        <v>41</v>
      </c>
      <c r="G54" s="14" t="n">
        <v>0.029</v>
      </c>
      <c r="H54" s="14" t="n">
        <v>0.835</v>
      </c>
    </row>
    <row r="55">
      <c r="A55" s="8" t="inlineStr">
        <is>
          <t>Cell C Winback</t>
        </is>
      </c>
      <c r="B55" s="11" t="inlineStr">
        <is>
          <t>Apr-26</t>
        </is>
      </c>
      <c r="C55" s="9" t="n">
        <v>0.9</v>
      </c>
      <c r="D55" s="9" t="n">
        <v>0.955</v>
      </c>
      <c r="E55" s="9" t="n">
        <v>0.831</v>
      </c>
      <c r="F55" s="10" t="n">
        <v>15</v>
      </c>
      <c r="G55" s="9" t="n">
        <v>0.027</v>
      </c>
      <c r="H55" s="9" t="n">
        <v>0.847</v>
      </c>
    </row>
    <row r="56">
      <c r="A56" s="13" t="inlineStr">
        <is>
          <t>Cell C Winback</t>
        </is>
      </c>
      <c r="B56" s="16" t="inlineStr">
        <is>
          <t>May-26</t>
        </is>
      </c>
      <c r="C56" s="14" t="n">
        <v>0.8169999999999999</v>
      </c>
      <c r="D56" s="14" t="n">
        <v>0.908</v>
      </c>
      <c r="E56" s="14" t="n">
        <v>0.849</v>
      </c>
      <c r="F56" s="15" t="n">
        <v>19</v>
      </c>
      <c r="G56" s="14" t="n">
        <v>0.07000000000000001</v>
      </c>
      <c r="H56" s="14" t="n">
        <v>0.787</v>
      </c>
    </row>
    <row r="57">
      <c r="A57" s="8" t="inlineStr">
        <is>
          <t>Cell C Winback</t>
        </is>
      </c>
      <c r="B57" s="11" t="inlineStr">
        <is>
          <t>Jun-26</t>
        </is>
      </c>
      <c r="C57" s="9" t="n">
        <v>0.9399999999999999</v>
      </c>
      <c r="D57" s="9" t="n">
        <v>0.86</v>
      </c>
      <c r="E57" s="9" t="n">
        <v>0.978</v>
      </c>
      <c r="F57" s="10" t="n">
        <v>34</v>
      </c>
      <c r="G57" s="9" t="n">
        <v>0.08400000000000001</v>
      </c>
      <c r="H57" s="9" t="n">
        <v>0.877</v>
      </c>
    </row>
    <row r="58">
      <c r="A58" s="13" t="inlineStr">
        <is>
          <t>Cell C Winback</t>
        </is>
      </c>
      <c r="B58" s="16" t="inlineStr">
        <is>
          <t>Jul-26</t>
        </is>
      </c>
      <c r="C58" s="14" t="n">
        <v>0.741</v>
      </c>
      <c r="D58" s="14" t="n">
        <v>0.952</v>
      </c>
      <c r="E58" s="14" t="n">
        <v>0.956</v>
      </c>
      <c r="F58" s="15" t="n">
        <v>29</v>
      </c>
      <c r="G58" s="14" t="n">
        <v>0.073</v>
      </c>
      <c r="H58" s="14" t="n">
        <v>0.871</v>
      </c>
    </row>
    <row r="59">
      <c r="A59" s="8" t="inlineStr">
        <is>
          <t>OUTsurance Sales</t>
        </is>
      </c>
      <c r="B59" s="11" t="inlineStr">
        <is>
          <t>Feb-26</t>
        </is>
      </c>
      <c r="C59" s="9" t="n">
        <v>0.869</v>
      </c>
      <c r="D59" s="9" t="n">
        <v>0.841</v>
      </c>
      <c r="E59" s="9" t="n">
        <v>0.832</v>
      </c>
      <c r="F59" s="10" t="n">
        <v>21</v>
      </c>
      <c r="G59" s="9" t="n">
        <v>0.056</v>
      </c>
      <c r="H59" s="9" t="n">
        <v>0.724</v>
      </c>
    </row>
    <row r="60">
      <c r="A60" s="13" t="inlineStr">
        <is>
          <t>OUTsurance Sales</t>
        </is>
      </c>
      <c r="B60" s="16" t="inlineStr">
        <is>
          <t>Mar-26</t>
        </is>
      </c>
      <c r="C60" s="14" t="n">
        <v>0.824</v>
      </c>
      <c r="D60" s="14" t="n">
        <v>0.9419999999999999</v>
      </c>
      <c r="E60" s="14" t="n">
        <v>0.902</v>
      </c>
      <c r="F60" s="15" t="n">
        <v>41</v>
      </c>
      <c r="G60" s="14" t="n">
        <v>0.081</v>
      </c>
      <c r="H60" s="14" t="n">
        <v>0.765</v>
      </c>
    </row>
    <row r="61">
      <c r="A61" s="8" t="inlineStr">
        <is>
          <t>OUTsurance Sales</t>
        </is>
      </c>
      <c r="B61" s="11" t="inlineStr">
        <is>
          <t>Apr-26</t>
        </is>
      </c>
      <c r="C61" s="9" t="n">
        <v>0.746</v>
      </c>
      <c r="D61" s="9" t="n">
        <v>0.851</v>
      </c>
      <c r="E61" s="9" t="n">
        <v>0.9419999999999999</v>
      </c>
      <c r="F61" s="10" t="n">
        <v>29</v>
      </c>
      <c r="G61" s="9" t="n">
        <v>0.022</v>
      </c>
      <c r="H61" s="9" t="n">
        <v>0.822</v>
      </c>
    </row>
    <row r="62">
      <c r="A62" s="13" t="inlineStr">
        <is>
          <t>OUTsurance Sales</t>
        </is>
      </c>
      <c r="B62" s="16" t="inlineStr">
        <is>
          <t>May-26</t>
        </is>
      </c>
      <c r="C62" s="14" t="n">
        <v>0.913</v>
      </c>
      <c r="D62" s="14" t="n">
        <v>0.836</v>
      </c>
      <c r="E62" s="14" t="n">
        <v>0.948</v>
      </c>
      <c r="F62" s="15" t="n">
        <v>25</v>
      </c>
      <c r="G62" s="14" t="n">
        <v>0.08599999999999999</v>
      </c>
      <c r="H62" s="14" t="n">
        <v>0.881</v>
      </c>
    </row>
    <row r="63">
      <c r="A63" s="8" t="inlineStr">
        <is>
          <t>OUTsurance Sales</t>
        </is>
      </c>
      <c r="B63" s="11" t="inlineStr">
        <is>
          <t>Jun-26</t>
        </is>
      </c>
      <c r="C63" s="9" t="n">
        <v>0.953</v>
      </c>
      <c r="D63" s="9" t="n">
        <v>0.793</v>
      </c>
      <c r="E63" s="9" t="n">
        <v>0.834</v>
      </c>
      <c r="F63" s="10" t="n">
        <v>43</v>
      </c>
      <c r="G63" s="9" t="n">
        <v>0.025</v>
      </c>
      <c r="H63" s="9" t="n">
        <v>0.73</v>
      </c>
    </row>
    <row r="64">
      <c r="A64" s="13" t="inlineStr">
        <is>
          <t>OUTsurance Sales</t>
        </is>
      </c>
      <c r="B64" s="16" t="inlineStr">
        <is>
          <t>Jul-26</t>
        </is>
      </c>
      <c r="C64" s="14" t="n">
        <v>0.773</v>
      </c>
      <c r="D64" s="14" t="n">
        <v>0.903</v>
      </c>
      <c r="E64" s="14" t="n">
        <v>0.881</v>
      </c>
      <c r="F64" s="15" t="n">
        <v>28</v>
      </c>
      <c r="G64" s="14" t="n">
        <v>0.039</v>
      </c>
      <c r="H64" s="14" t="n">
        <v>0.799</v>
      </c>
    </row>
    <row r="65">
      <c r="A65" s="8" t="inlineStr">
        <is>
          <t>Standard Bank Helpdesk</t>
        </is>
      </c>
      <c r="B65" s="11" t="inlineStr">
        <is>
          <t>Feb-26</t>
        </is>
      </c>
      <c r="C65" s="9" t="n">
        <v>0.877</v>
      </c>
      <c r="D65" s="9" t="n">
        <v>0.854</v>
      </c>
      <c r="E65" s="9" t="n">
        <v>0.927</v>
      </c>
      <c r="F65" s="10" t="n">
        <v>45</v>
      </c>
      <c r="G65" s="9" t="n">
        <v>0.054</v>
      </c>
      <c r="H65" s="9" t="n">
        <v>0.9</v>
      </c>
    </row>
    <row r="66">
      <c r="A66" s="13" t="inlineStr">
        <is>
          <t>Standard Bank Helpdesk</t>
        </is>
      </c>
      <c r="B66" s="16" t="inlineStr">
        <is>
          <t>Mar-26</t>
        </is>
      </c>
      <c r="C66" s="14" t="n">
        <v>0.953</v>
      </c>
      <c r="D66" s="14" t="n">
        <v>0.9</v>
      </c>
      <c r="E66" s="14" t="n">
        <v>0.958</v>
      </c>
      <c r="F66" s="15" t="n">
        <v>34</v>
      </c>
      <c r="G66" s="14" t="n">
        <v>0.07000000000000001</v>
      </c>
      <c r="H66" s="14" t="n">
        <v>0.865</v>
      </c>
    </row>
    <row r="67">
      <c r="A67" s="8" t="inlineStr">
        <is>
          <t>Standard Bank Helpdesk</t>
        </is>
      </c>
      <c r="B67" s="11" t="inlineStr">
        <is>
          <t>Apr-26</t>
        </is>
      </c>
      <c r="C67" s="9" t="n">
        <v>0.879</v>
      </c>
      <c r="D67" s="9" t="n">
        <v>0.792</v>
      </c>
      <c r="E67" s="9" t="n">
        <v>0.9429999999999999</v>
      </c>
      <c r="F67" s="10" t="n">
        <v>44</v>
      </c>
      <c r="G67" s="9" t="n">
        <v>0.033</v>
      </c>
      <c r="H67" s="9" t="n">
        <v>0.834</v>
      </c>
    </row>
    <row r="68">
      <c r="A68" s="13" t="inlineStr">
        <is>
          <t>Standard Bank Helpdesk</t>
        </is>
      </c>
      <c r="B68" s="16" t="inlineStr">
        <is>
          <t>May-26</t>
        </is>
      </c>
      <c r="C68" s="14" t="n">
        <v>0.785</v>
      </c>
      <c r="D68" s="14" t="n">
        <v>0.9360000000000001</v>
      </c>
      <c r="E68" s="14" t="n">
        <v>0.837</v>
      </c>
      <c r="F68" s="15" t="n">
        <v>24</v>
      </c>
      <c r="G68" s="14" t="n">
        <v>0.075</v>
      </c>
      <c r="H68" s="14" t="n">
        <v>0.8139999999999999</v>
      </c>
    </row>
    <row r="69">
      <c r="A69" s="8" t="inlineStr">
        <is>
          <t>Standard Bank Helpdesk</t>
        </is>
      </c>
      <c r="B69" s="11" t="inlineStr">
        <is>
          <t>Jun-26</t>
        </is>
      </c>
      <c r="C69" s="9" t="n">
        <v>0.777</v>
      </c>
      <c r="D69" s="9" t="n">
        <v>0.8120000000000001</v>
      </c>
      <c r="E69" s="9" t="n">
        <v>0.917</v>
      </c>
      <c r="F69" s="10" t="n">
        <v>45</v>
      </c>
      <c r="G69" s="9" t="n">
        <v>0.057</v>
      </c>
      <c r="H69" s="9" t="n">
        <v>0.855</v>
      </c>
    </row>
    <row r="70">
      <c r="A70" s="13" t="inlineStr">
        <is>
          <t>Standard Bank Helpdesk</t>
        </is>
      </c>
      <c r="B70" s="16" t="inlineStr">
        <is>
          <t>Jul-26</t>
        </is>
      </c>
      <c r="C70" s="14" t="n">
        <v>0.864</v>
      </c>
      <c r="D70" s="14" t="n">
        <v>0.903</v>
      </c>
      <c r="E70" s="14" t="n">
        <v>0.886</v>
      </c>
      <c r="F70" s="15" t="n">
        <v>20</v>
      </c>
      <c r="G70" s="14" t="n">
        <v>0.021</v>
      </c>
      <c r="H70" s="14" t="n">
        <v>0.822</v>
      </c>
    </row>
    <row r="71">
      <c r="A71" s="8" t="inlineStr">
        <is>
          <t>Shoprite Surveys</t>
        </is>
      </c>
      <c r="B71" s="11" t="inlineStr">
        <is>
          <t>Feb-26</t>
        </is>
      </c>
      <c r="C71" s="9" t="n">
        <v>0.838</v>
      </c>
      <c r="D71" s="9" t="n">
        <v>0.872</v>
      </c>
      <c r="E71" s="9" t="n">
        <v>0.916</v>
      </c>
      <c r="F71" s="10" t="n">
        <v>27</v>
      </c>
      <c r="G71" s="9" t="n">
        <v>0.027</v>
      </c>
      <c r="H71" s="9" t="n">
        <v>0.769</v>
      </c>
    </row>
    <row r="72">
      <c r="A72" s="13" t="inlineStr">
        <is>
          <t>Shoprite Surveys</t>
        </is>
      </c>
      <c r="B72" s="16" t="inlineStr">
        <is>
          <t>Mar-26</t>
        </is>
      </c>
      <c r="C72" s="14" t="n">
        <v>0.861</v>
      </c>
      <c r="D72" s="14" t="n">
        <v>0.864</v>
      </c>
      <c r="E72" s="14" t="n">
        <v>0.96</v>
      </c>
      <c r="F72" s="15" t="n">
        <v>44</v>
      </c>
      <c r="G72" s="14" t="n">
        <v>0.033</v>
      </c>
      <c r="H72" s="14" t="n">
        <v>0.778</v>
      </c>
    </row>
    <row r="73">
      <c r="A73" s="8" t="inlineStr">
        <is>
          <t>Shoprite Surveys</t>
        </is>
      </c>
      <c r="B73" s="11" t="inlineStr">
        <is>
          <t>Apr-26</t>
        </is>
      </c>
      <c r="C73" s="9" t="n">
        <v>0.87</v>
      </c>
      <c r="D73" s="9" t="n">
        <v>0.954</v>
      </c>
      <c r="E73" s="9" t="n">
        <v>0.906</v>
      </c>
      <c r="F73" s="10" t="n">
        <v>19</v>
      </c>
      <c r="G73" s="9" t="n">
        <v>0.035</v>
      </c>
      <c r="H73" s="9" t="n">
        <v>0.784</v>
      </c>
    </row>
    <row r="74">
      <c r="A74" s="13" t="inlineStr">
        <is>
          <t>Shoprite Surveys</t>
        </is>
      </c>
      <c r="B74" s="16" t="inlineStr">
        <is>
          <t>May-26</t>
        </is>
      </c>
      <c r="C74" s="14" t="n">
        <v>0.872</v>
      </c>
      <c r="D74" s="14" t="n">
        <v>0.876</v>
      </c>
      <c r="E74" s="14" t="n">
        <v>0.892</v>
      </c>
      <c r="F74" s="15" t="n">
        <v>36</v>
      </c>
      <c r="G74" s="14" t="n">
        <v>0.023</v>
      </c>
      <c r="H74" s="14" t="n">
        <v>0.8070000000000001</v>
      </c>
    </row>
    <row r="75">
      <c r="A75" s="8" t="inlineStr">
        <is>
          <t>Shoprite Surveys</t>
        </is>
      </c>
      <c r="B75" s="11" t="inlineStr">
        <is>
          <t>Jun-26</t>
        </is>
      </c>
      <c r="C75" s="9" t="n">
        <v>0.783</v>
      </c>
      <c r="D75" s="9" t="n">
        <v>0.9389999999999999</v>
      </c>
      <c r="E75" s="9" t="n">
        <v>0.959</v>
      </c>
      <c r="F75" s="10" t="n">
        <v>33</v>
      </c>
      <c r="G75" s="9" t="n">
        <v>0.049</v>
      </c>
      <c r="H75" s="9" t="n">
        <v>0.755</v>
      </c>
    </row>
    <row r="76">
      <c r="A76" s="13" t="inlineStr">
        <is>
          <t>Shoprite Surveys</t>
        </is>
      </c>
      <c r="B76" s="16" t="inlineStr">
        <is>
          <t>Jul-26</t>
        </is>
      </c>
      <c r="C76" s="14" t="n">
        <v>0.783</v>
      </c>
      <c r="D76" s="14" t="n">
        <v>0.929</v>
      </c>
      <c r="E76" s="14" t="n">
        <v>0.868</v>
      </c>
      <c r="F76" s="15" t="n">
        <v>17</v>
      </c>
      <c r="G76" s="14" t="n">
        <v>0.034</v>
      </c>
      <c r="H76" s="14" t="n">
        <v>0.725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2026-08-08T23:51:10Z</dcterms:created>
  <dcterms:modified xmlns:dcterms="http://purl.org/dc/terms/" xmlns:xsi="http://www.w3.org/2001/XMLSchema-instance" xsi:type="dcterms:W3CDTF">2026-08-08T23:51:10Z</dcterms:modified>
</cp:coreProperties>
</file>