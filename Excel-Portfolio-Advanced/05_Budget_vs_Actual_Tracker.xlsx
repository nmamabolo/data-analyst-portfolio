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Budget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R#,##0"/>
    <numFmt numFmtId="165" formatCode="R#,##0;[Red](R#,##0)"/>
    <numFmt numFmtId="166" formatCode="0.0%;[Red]-0.0%"/>
    <numFmt numFmtId="167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9"/>
    </font>
    <font>
      <name val="Arial"/>
      <b val="1"/>
      <color rgb="001F3864"/>
      <sz val="15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EAF0FA"/>
      </patternFill>
    </fill>
    <fill>
      <patternFill patternType="solid">
        <fgColor rgb="00BDD7EE"/>
      </patternFill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6" fillId="6" borderId="0" applyAlignment="1" pivotButton="0" quotePrefix="0" xfId="0">
      <alignment horizontal="center" vertical="center" wrapText="1"/>
    </xf>
    <xf numFmtId="164" fontId="7" fillId="4" borderId="0" applyAlignment="1" pivotButton="0" quotePrefix="0" xfId="0">
      <alignment horizontal="center" vertical="center"/>
    </xf>
    <xf numFmtId="167" fontId="7" fillId="4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/>
    </xf>
    <xf numFmtId="0" fontId="5" fillId="5" borderId="2" pivotButton="0" quotePrefix="0" xfId="0"/>
    <xf numFmtId="164" fontId="5" fillId="5" borderId="2" pivotButton="0" quotePrefix="0" xfId="0"/>
    <xf numFmtId="167" fontId="5" fillId="5" borderId="2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vs Actual by Cost Centre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'Dashboard'!$A$9:$A$16</f>
            </numRef>
          </cat>
          <val>
            <numRef>
              <f>'Dashboard'!$B$9:$B$16</f>
            </numRef>
          </val>
        </ser>
        <ser>
          <idx val="1"/>
          <order val="1"/>
          <tx>
            <strRef>
              <f>'Dashboard'!C8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'Dashboard'!$A$9:$A$16</f>
            </numRef>
          </cat>
          <val>
            <numRef>
              <f>'Dashboard'!$C$9:$C$16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7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1" customWidth="1" min="5" max="5"/>
    <col width="6" customWidth="1" min="6" max="6"/>
    <col width="10" customWidth="1" min="7" max="7"/>
    <col width="10" customWidth="1" min="8" max="8"/>
  </cols>
  <sheetData>
    <row r="1" ht="30" customHeight="1">
      <c r="A1" s="1" t="inlineStr">
        <is>
          <t>Budget Performance Dashboard — YTD</t>
        </is>
      </c>
    </row>
    <row r="2">
      <c r="A2" s="2" t="inlineStr">
        <is>
          <t>YTD budget vs actual by cost centre (SUMIF)</t>
        </is>
      </c>
    </row>
    <row r="4">
      <c r="A4" s="3" t="inlineStr">
        <is>
          <t>YTD Budget</t>
        </is>
      </c>
      <c r="C4" s="3" t="inlineStr">
        <is>
          <t>YTD Actual</t>
        </is>
      </c>
      <c r="E4" s="3" t="inlineStr">
        <is>
          <t>YTD Variance</t>
        </is>
      </c>
      <c r="G4" s="3" t="inlineStr">
        <is>
          <t>Variance %</t>
        </is>
      </c>
    </row>
    <row r="5">
      <c r="A5" s="4">
        <f>SUM('Budget Detail'!C5:C52)</f>
        <v/>
      </c>
      <c r="C5" s="4">
        <f>SUM('Budget Detail'!D5:D52)</f>
        <v/>
      </c>
      <c r="E5" s="4">
        <f>SUM('Budget Detail'!E5:E52)</f>
        <v/>
      </c>
      <c r="G5" s="5">
        <f>SUM('Budget Detail'!E5:E52)/SUM('Budget Detail'!C5:C52)</f>
        <v/>
      </c>
    </row>
    <row r="6"/>
    <row r="8" ht="30" customHeight="1">
      <c r="A8" s="6" t="inlineStr">
        <is>
          <t>Cost Centre</t>
        </is>
      </c>
      <c r="B8" s="6" t="inlineStr">
        <is>
          <t>Budget</t>
        </is>
      </c>
      <c r="C8" s="6" t="inlineStr">
        <is>
          <t>Actual</t>
        </is>
      </c>
      <c r="D8" s="6" t="inlineStr">
        <is>
          <t>Variance</t>
        </is>
      </c>
      <c r="E8" s="6" t="inlineStr">
        <is>
          <t>Variance %</t>
        </is>
      </c>
    </row>
    <row r="9">
      <c r="A9" s="7" t="inlineStr">
        <is>
          <t>Operations</t>
        </is>
      </c>
      <c r="B9" s="8">
        <f>SUMIF('Budget Detail'!$A$5:$A$52,A9,'Budget Detail'!$C$5:$C$52)</f>
        <v/>
      </c>
      <c r="C9" s="8">
        <f>SUMIF('Budget Detail'!$A$5:$A$52,A9,'Budget Detail'!$D$5:$D$52)</f>
        <v/>
      </c>
      <c r="D9" s="9">
        <f>C9-B9</f>
        <v/>
      </c>
      <c r="E9" s="10">
        <f>D9/B9-1</f>
        <v/>
      </c>
    </row>
    <row r="10">
      <c r="A10" s="11" t="inlineStr">
        <is>
          <t>Customer Care</t>
        </is>
      </c>
      <c r="B10" s="12">
        <f>SUMIF('Budget Detail'!$A$5:$A$52,A10,'Budget Detail'!$C$5:$C$52)</f>
        <v/>
      </c>
      <c r="C10" s="12">
        <f>SUMIF('Budget Detail'!$A$5:$A$52,A10,'Budget Detail'!$D$5:$D$52)</f>
        <v/>
      </c>
      <c r="D10" s="13">
        <f>C10-B10</f>
        <v/>
      </c>
      <c r="E10" s="14">
        <f>D10/B10-1</f>
        <v/>
      </c>
    </row>
    <row r="11">
      <c r="A11" s="7" t="inlineStr">
        <is>
          <t>Sales</t>
        </is>
      </c>
      <c r="B11" s="8">
        <f>SUMIF('Budget Detail'!$A$5:$A$52,A11,'Budget Detail'!$C$5:$C$52)</f>
        <v/>
      </c>
      <c r="C11" s="8">
        <f>SUMIF('Budget Detail'!$A$5:$A$52,A11,'Budget Detail'!$D$5:$D$52)</f>
        <v/>
      </c>
      <c r="D11" s="9">
        <f>C11-B11</f>
        <v/>
      </c>
      <c r="E11" s="10">
        <f>D11/B11-1</f>
        <v/>
      </c>
    </row>
    <row r="12">
      <c r="A12" s="11" t="inlineStr">
        <is>
          <t>IT Support</t>
        </is>
      </c>
      <c r="B12" s="12">
        <f>SUMIF('Budget Detail'!$A$5:$A$52,A12,'Budget Detail'!$C$5:$C$52)</f>
        <v/>
      </c>
      <c r="C12" s="12">
        <f>SUMIF('Budget Detail'!$A$5:$A$52,A12,'Budget Detail'!$D$5:$D$52)</f>
        <v/>
      </c>
      <c r="D12" s="13">
        <f>C12-B12</f>
        <v/>
      </c>
      <c r="E12" s="14">
        <f>D12/B12-1</f>
        <v/>
      </c>
    </row>
    <row r="13">
      <c r="A13" s="7" t="inlineStr">
        <is>
          <t>Admin</t>
        </is>
      </c>
      <c r="B13" s="8">
        <f>SUMIF('Budget Detail'!$A$5:$A$52,A13,'Budget Detail'!$C$5:$C$52)</f>
        <v/>
      </c>
      <c r="C13" s="8">
        <f>SUMIF('Budget Detail'!$A$5:$A$52,A13,'Budget Detail'!$D$5:$D$52)</f>
        <v/>
      </c>
      <c r="D13" s="9">
        <f>C13-B13</f>
        <v/>
      </c>
      <c r="E13" s="10">
        <f>D13/B13-1</f>
        <v/>
      </c>
    </row>
    <row r="14">
      <c r="A14" s="11" t="inlineStr">
        <is>
          <t>Quality</t>
        </is>
      </c>
      <c r="B14" s="12">
        <f>SUMIF('Budget Detail'!$A$5:$A$52,A14,'Budget Detail'!$C$5:$C$52)</f>
        <v/>
      </c>
      <c r="C14" s="12">
        <f>SUMIF('Budget Detail'!$A$5:$A$52,A14,'Budget Detail'!$D$5:$D$52)</f>
        <v/>
      </c>
      <c r="D14" s="13">
        <f>C14-B14</f>
        <v/>
      </c>
      <c r="E14" s="14">
        <f>D14/B14-1</f>
        <v/>
      </c>
    </row>
    <row r="15">
      <c r="A15" s="7" t="inlineStr">
        <is>
          <t>Team Leaders</t>
        </is>
      </c>
      <c r="B15" s="8">
        <f>SUMIF('Budget Detail'!$A$5:$A$52,A15,'Budget Detail'!$C$5:$C$52)</f>
        <v/>
      </c>
      <c r="C15" s="8">
        <f>SUMIF('Budget Detail'!$A$5:$A$52,A15,'Budget Detail'!$D$5:$D$52)</f>
        <v/>
      </c>
      <c r="D15" s="9">
        <f>C15-B15</f>
        <v/>
      </c>
      <c r="E15" s="10">
        <f>D15/B15-1</f>
        <v/>
      </c>
    </row>
    <row r="16">
      <c r="A16" s="11" t="inlineStr">
        <is>
          <t>Training</t>
        </is>
      </c>
      <c r="B16" s="12">
        <f>SUMIF('Budget Detail'!$A$5:$A$52,A16,'Budget Detail'!$C$5:$C$52)</f>
        <v/>
      </c>
      <c r="C16" s="12">
        <f>SUMIF('Budget Detail'!$A$5:$A$52,A16,'Budget Detail'!$D$5:$D$52)</f>
        <v/>
      </c>
      <c r="D16" s="13">
        <f>C16-B16</f>
        <v/>
      </c>
      <c r="E16" s="14">
        <f>D16/B16-1</f>
        <v/>
      </c>
    </row>
  </sheetData>
  <mergeCells count="10">
    <mergeCell ref="A4:B4"/>
    <mergeCell ref="G4:H4"/>
    <mergeCell ref="E4:F4"/>
    <mergeCell ref="A2:H2"/>
    <mergeCell ref="C5:D6"/>
    <mergeCell ref="A5:B6"/>
    <mergeCell ref="G5:H6"/>
    <mergeCell ref="E5:F6"/>
    <mergeCell ref="A1:H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14" customWidth="1" min="3" max="3"/>
    <col width="14" customWidth="1" min="4" max="4"/>
    <col width="14" customWidth="1" min="5" max="5"/>
    <col width="11" customWidth="1" min="6" max="6"/>
    <col width="13" customWidth="1" min="7" max="7"/>
  </cols>
  <sheetData>
    <row r="1" ht="30" customHeight="1">
      <c r="A1" s="1" t="inlineStr">
        <is>
          <t>Operating Budget vs Actual — by Cost Centre &amp; Month (ZAR)</t>
        </is>
      </c>
    </row>
    <row r="2">
      <c r="A2" s="2" t="inlineStr">
        <is>
          <t>Monthly budget vs actual with variance and % variance; YTD roll-up on the Dashboard</t>
        </is>
      </c>
    </row>
    <row r="4" ht="30" customHeight="1">
      <c r="A4" s="6" t="inlineStr">
        <is>
          <t>Cost Centre</t>
        </is>
      </c>
      <c r="B4" s="6" t="inlineStr">
        <is>
          <t>Month</t>
        </is>
      </c>
      <c r="C4" s="6" t="inlineStr">
        <is>
          <t>Budget</t>
        </is>
      </c>
      <c r="D4" s="6" t="inlineStr">
        <is>
          <t>Actual</t>
        </is>
      </c>
      <c r="E4" s="6" t="inlineStr">
        <is>
          <t>Variance</t>
        </is>
      </c>
      <c r="F4" s="6" t="inlineStr">
        <is>
          <t>Variance %</t>
        </is>
      </c>
      <c r="G4" s="6" t="inlineStr">
        <is>
          <t>Status</t>
        </is>
      </c>
    </row>
    <row r="5">
      <c r="A5" s="7" t="inlineStr">
        <is>
          <t>Operations</t>
        </is>
      </c>
      <c r="B5" s="15" t="inlineStr">
        <is>
          <t>Feb-26</t>
        </is>
      </c>
      <c r="C5" s="8" t="n">
        <v>423707</v>
      </c>
      <c r="D5" s="8" t="n">
        <v>465874</v>
      </c>
      <c r="E5" s="9">
        <f>D5-C5</f>
        <v/>
      </c>
      <c r="F5" s="10">
        <f>(D5-C5)/C5</f>
        <v/>
      </c>
      <c r="G5" s="15">
        <f>IF(D5&lt;=C5,"On/Under","Over Budget")</f>
        <v/>
      </c>
    </row>
    <row r="6">
      <c r="A6" s="11" t="inlineStr">
        <is>
          <t>Operations</t>
        </is>
      </c>
      <c r="B6" s="16" t="inlineStr">
        <is>
          <t>Mar-26</t>
        </is>
      </c>
      <c r="C6" s="12" t="n">
        <v>425256</v>
      </c>
      <c r="D6" s="12" t="n">
        <v>411599</v>
      </c>
      <c r="E6" s="13">
        <f>D6-C6</f>
        <v/>
      </c>
      <c r="F6" s="14">
        <f>(D6-C6)/C6</f>
        <v/>
      </c>
      <c r="G6" s="16">
        <f>IF(D6&lt;=C6,"On/Under","Over Budget")</f>
        <v/>
      </c>
    </row>
    <row r="7">
      <c r="A7" s="7" t="inlineStr">
        <is>
          <t>Operations</t>
        </is>
      </c>
      <c r="B7" s="15" t="inlineStr">
        <is>
          <t>Apr-26</t>
        </is>
      </c>
      <c r="C7" s="8" t="n">
        <v>437695</v>
      </c>
      <c r="D7" s="8" t="n">
        <v>418616</v>
      </c>
      <c r="E7" s="9">
        <f>D7-C7</f>
        <v/>
      </c>
      <c r="F7" s="10">
        <f>(D7-C7)/C7</f>
        <v/>
      </c>
      <c r="G7" s="15">
        <f>IF(D7&lt;=C7,"On/Under","Over Budget")</f>
        <v/>
      </c>
    </row>
    <row r="8">
      <c r="A8" s="11" t="inlineStr">
        <is>
          <t>Operations</t>
        </is>
      </c>
      <c r="B8" s="16" t="inlineStr">
        <is>
          <t>May-26</t>
        </is>
      </c>
      <c r="C8" s="12" t="n">
        <v>458975</v>
      </c>
      <c r="D8" s="12" t="n">
        <v>467564</v>
      </c>
      <c r="E8" s="13">
        <f>D8-C8</f>
        <v/>
      </c>
      <c r="F8" s="14">
        <f>(D8-C8)/C8</f>
        <v/>
      </c>
      <c r="G8" s="16">
        <f>IF(D8&lt;=C8,"On/Under","Over Budget")</f>
        <v/>
      </c>
    </row>
    <row r="9">
      <c r="A9" s="7" t="inlineStr">
        <is>
          <t>Operations</t>
        </is>
      </c>
      <c r="B9" s="15" t="inlineStr">
        <is>
          <t>Jun-26</t>
        </is>
      </c>
      <c r="C9" s="8" t="n">
        <v>429832</v>
      </c>
      <c r="D9" s="8" t="n">
        <v>385012</v>
      </c>
      <c r="E9" s="9">
        <f>D9-C9</f>
        <v/>
      </c>
      <c r="F9" s="10">
        <f>(D9-C9)/C9</f>
        <v/>
      </c>
      <c r="G9" s="15">
        <f>IF(D9&lt;=C9,"On/Under","Over Budget")</f>
        <v/>
      </c>
    </row>
    <row r="10">
      <c r="A10" s="11" t="inlineStr">
        <is>
          <t>Operations</t>
        </is>
      </c>
      <c r="B10" s="16" t="inlineStr">
        <is>
          <t>Jul-26</t>
        </is>
      </c>
      <c r="C10" s="12" t="n">
        <v>460575</v>
      </c>
      <c r="D10" s="12" t="n">
        <v>506248</v>
      </c>
      <c r="E10" s="13">
        <f>D10-C10</f>
        <v/>
      </c>
      <c r="F10" s="14">
        <f>(D10-C10)/C10</f>
        <v/>
      </c>
      <c r="G10" s="16">
        <f>IF(D10&lt;=C10,"On/Under","Over Budget")</f>
        <v/>
      </c>
    </row>
    <row r="11">
      <c r="A11" s="7" t="inlineStr">
        <is>
          <t>Customer Care</t>
        </is>
      </c>
      <c r="B11" s="15" t="inlineStr">
        <is>
          <t>Feb-26</t>
        </is>
      </c>
      <c r="C11" s="8" t="n">
        <v>712961</v>
      </c>
      <c r="D11" s="8" t="n">
        <v>726692</v>
      </c>
      <c r="E11" s="9">
        <f>D11-C11</f>
        <v/>
      </c>
      <c r="F11" s="10">
        <f>(D11-C11)/C11</f>
        <v/>
      </c>
      <c r="G11" s="15">
        <f>IF(D11&lt;=C11,"On/Under","Over Budget")</f>
        <v/>
      </c>
    </row>
    <row r="12">
      <c r="A12" s="11" t="inlineStr">
        <is>
          <t>Customer Care</t>
        </is>
      </c>
      <c r="B12" s="16" t="inlineStr">
        <is>
          <t>Mar-26</t>
        </is>
      </c>
      <c r="C12" s="12" t="n">
        <v>721370</v>
      </c>
      <c r="D12" s="12" t="n">
        <v>653411</v>
      </c>
      <c r="E12" s="13">
        <f>D12-C12</f>
        <v/>
      </c>
      <c r="F12" s="14">
        <f>(D12-C12)/C12</f>
        <v/>
      </c>
      <c r="G12" s="16">
        <f>IF(D12&lt;=C12,"On/Under","Over Budget")</f>
        <v/>
      </c>
    </row>
    <row r="13">
      <c r="A13" s="7" t="inlineStr">
        <is>
          <t>Customer Care</t>
        </is>
      </c>
      <c r="B13" s="15" t="inlineStr">
        <is>
          <t>Apr-26</t>
        </is>
      </c>
      <c r="C13" s="8" t="n">
        <v>732485</v>
      </c>
      <c r="D13" s="8" t="n">
        <v>804860</v>
      </c>
      <c r="E13" s="9">
        <f>D13-C13</f>
        <v/>
      </c>
      <c r="F13" s="10">
        <f>(D13-C13)/C13</f>
        <v/>
      </c>
      <c r="G13" s="15">
        <f>IF(D13&lt;=C13,"On/Under","Over Budget")</f>
        <v/>
      </c>
    </row>
    <row r="14">
      <c r="A14" s="11" t="inlineStr">
        <is>
          <t>Customer Care</t>
        </is>
      </c>
      <c r="B14" s="16" t="inlineStr">
        <is>
          <t>May-26</t>
        </is>
      </c>
      <c r="C14" s="12" t="n">
        <v>710220</v>
      </c>
      <c r="D14" s="12" t="n">
        <v>797230</v>
      </c>
      <c r="E14" s="13">
        <f>D14-C14</f>
        <v/>
      </c>
      <c r="F14" s="14">
        <f>(D14-C14)/C14</f>
        <v/>
      </c>
      <c r="G14" s="16">
        <f>IF(D14&lt;=C14,"On/Under","Over Budget")</f>
        <v/>
      </c>
    </row>
    <row r="15">
      <c r="A15" s="7" t="inlineStr">
        <is>
          <t>Customer Care</t>
        </is>
      </c>
      <c r="B15" s="15" t="inlineStr">
        <is>
          <t>Jun-26</t>
        </is>
      </c>
      <c r="C15" s="8" t="n">
        <v>690398</v>
      </c>
      <c r="D15" s="8" t="n">
        <v>629366</v>
      </c>
      <c r="E15" s="9">
        <f>D15-C15</f>
        <v/>
      </c>
      <c r="F15" s="10">
        <f>(D15-C15)/C15</f>
        <v/>
      </c>
      <c r="G15" s="15">
        <f>IF(D15&lt;=C15,"On/Under","Over Budget")</f>
        <v/>
      </c>
    </row>
    <row r="16">
      <c r="A16" s="11" t="inlineStr">
        <is>
          <t>Customer Care</t>
        </is>
      </c>
      <c r="B16" s="16" t="inlineStr">
        <is>
          <t>Jul-26</t>
        </is>
      </c>
      <c r="C16" s="12" t="n">
        <v>693466</v>
      </c>
      <c r="D16" s="12" t="n">
        <v>660808</v>
      </c>
      <c r="E16" s="13">
        <f>D16-C16</f>
        <v/>
      </c>
      <c r="F16" s="14">
        <f>(D16-C16)/C16</f>
        <v/>
      </c>
      <c r="G16" s="16">
        <f>IF(D16&lt;=C16,"On/Under","Over Budget")</f>
        <v/>
      </c>
    </row>
    <row r="17">
      <c r="A17" s="7" t="inlineStr">
        <is>
          <t>Sales</t>
        </is>
      </c>
      <c r="B17" s="15" t="inlineStr">
        <is>
          <t>Feb-26</t>
        </is>
      </c>
      <c r="C17" s="8" t="n">
        <v>481369</v>
      </c>
      <c r="D17" s="8" t="n">
        <v>519115</v>
      </c>
      <c r="E17" s="9">
        <f>D17-C17</f>
        <v/>
      </c>
      <c r="F17" s="10">
        <f>(D17-C17)/C17</f>
        <v/>
      </c>
      <c r="G17" s="15">
        <f>IF(D17&lt;=C17,"On/Under","Over Budget")</f>
        <v/>
      </c>
    </row>
    <row r="18">
      <c r="A18" s="11" t="inlineStr">
        <is>
          <t>Sales</t>
        </is>
      </c>
      <c r="B18" s="16" t="inlineStr">
        <is>
          <t>Mar-26</t>
        </is>
      </c>
      <c r="C18" s="12" t="n">
        <v>523910</v>
      </c>
      <c r="D18" s="12" t="n">
        <v>582282</v>
      </c>
      <c r="E18" s="13">
        <f>D18-C18</f>
        <v/>
      </c>
      <c r="F18" s="14">
        <f>(D18-C18)/C18</f>
        <v/>
      </c>
      <c r="G18" s="16">
        <f>IF(D18&lt;=C18,"On/Under","Over Budget")</f>
        <v/>
      </c>
    </row>
    <row r="19">
      <c r="A19" s="7" t="inlineStr">
        <is>
          <t>Sales</t>
        </is>
      </c>
      <c r="B19" s="15" t="inlineStr">
        <is>
          <t>Apr-26</t>
        </is>
      </c>
      <c r="C19" s="8" t="n">
        <v>525021</v>
      </c>
      <c r="D19" s="8" t="n">
        <v>579008</v>
      </c>
      <c r="E19" s="9">
        <f>D19-C19</f>
        <v/>
      </c>
      <c r="F19" s="10">
        <f>(D19-C19)/C19</f>
        <v/>
      </c>
      <c r="G19" s="15">
        <f>IF(D19&lt;=C19,"On/Under","Over Budget")</f>
        <v/>
      </c>
    </row>
    <row r="20">
      <c r="A20" s="11" t="inlineStr">
        <is>
          <t>Sales</t>
        </is>
      </c>
      <c r="B20" s="16" t="inlineStr">
        <is>
          <t>May-26</t>
        </is>
      </c>
      <c r="C20" s="12" t="n">
        <v>524294</v>
      </c>
      <c r="D20" s="12" t="n">
        <v>498309</v>
      </c>
      <c r="E20" s="13">
        <f>D20-C20</f>
        <v/>
      </c>
      <c r="F20" s="14">
        <f>(D20-C20)/C20</f>
        <v/>
      </c>
      <c r="G20" s="16">
        <f>IF(D20&lt;=C20,"On/Under","Over Budget")</f>
        <v/>
      </c>
    </row>
    <row r="21">
      <c r="A21" s="7" t="inlineStr">
        <is>
          <t>Sales</t>
        </is>
      </c>
      <c r="B21" s="15" t="inlineStr">
        <is>
          <t>Jun-26</t>
        </is>
      </c>
      <c r="C21" s="8" t="n">
        <v>520744</v>
      </c>
      <c r="D21" s="8" t="n">
        <v>558710</v>
      </c>
      <c r="E21" s="9">
        <f>D21-C21</f>
        <v/>
      </c>
      <c r="F21" s="10">
        <f>(D21-C21)/C21</f>
        <v/>
      </c>
      <c r="G21" s="15">
        <f>IF(D21&lt;=C21,"On/Under","Over Budget")</f>
        <v/>
      </c>
    </row>
    <row r="22">
      <c r="A22" s="11" t="inlineStr">
        <is>
          <t>Sales</t>
        </is>
      </c>
      <c r="B22" s="16" t="inlineStr">
        <is>
          <t>Jul-26</t>
        </is>
      </c>
      <c r="C22" s="12" t="n">
        <v>498410</v>
      </c>
      <c r="D22" s="12" t="n">
        <v>477438</v>
      </c>
      <c r="E22" s="13">
        <f>D22-C22</f>
        <v/>
      </c>
      <c r="F22" s="14">
        <f>(D22-C22)/C22</f>
        <v/>
      </c>
      <c r="G22" s="16">
        <f>IF(D22&lt;=C22,"On/Under","Over Budget")</f>
        <v/>
      </c>
    </row>
    <row r="23">
      <c r="A23" s="7" t="inlineStr">
        <is>
          <t>IT Support</t>
        </is>
      </c>
      <c r="B23" s="15" t="inlineStr">
        <is>
          <t>Feb-26</t>
        </is>
      </c>
      <c r="C23" s="8" t="n">
        <v>609295</v>
      </c>
      <c r="D23" s="8" t="n">
        <v>672433</v>
      </c>
      <c r="E23" s="9">
        <f>D23-C23</f>
        <v/>
      </c>
      <c r="F23" s="10">
        <f>(D23-C23)/C23</f>
        <v/>
      </c>
      <c r="G23" s="15">
        <f>IF(D23&lt;=C23,"On/Under","Over Budget")</f>
        <v/>
      </c>
    </row>
    <row r="24">
      <c r="A24" s="11" t="inlineStr">
        <is>
          <t>IT Support</t>
        </is>
      </c>
      <c r="B24" s="16" t="inlineStr">
        <is>
          <t>Mar-26</t>
        </is>
      </c>
      <c r="C24" s="12" t="n">
        <v>571567</v>
      </c>
      <c r="D24" s="12" t="n">
        <v>557338</v>
      </c>
      <c r="E24" s="13">
        <f>D24-C24</f>
        <v/>
      </c>
      <c r="F24" s="14">
        <f>(D24-C24)/C24</f>
        <v/>
      </c>
      <c r="G24" s="16">
        <f>IF(D24&lt;=C24,"On/Under","Over Budget")</f>
        <v/>
      </c>
    </row>
    <row r="25">
      <c r="A25" s="7" t="inlineStr">
        <is>
          <t>IT Support</t>
        </is>
      </c>
      <c r="B25" s="15" t="inlineStr">
        <is>
          <t>Apr-26</t>
        </is>
      </c>
      <c r="C25" s="8" t="n">
        <v>591673</v>
      </c>
      <c r="D25" s="8" t="n">
        <v>531775</v>
      </c>
      <c r="E25" s="9">
        <f>D25-C25</f>
        <v/>
      </c>
      <c r="F25" s="10">
        <f>(D25-C25)/C25</f>
        <v/>
      </c>
      <c r="G25" s="15">
        <f>IF(D25&lt;=C25,"On/Under","Over Budget")</f>
        <v/>
      </c>
    </row>
    <row r="26">
      <c r="A26" s="11" t="inlineStr">
        <is>
          <t>IT Support</t>
        </is>
      </c>
      <c r="B26" s="16" t="inlineStr">
        <is>
          <t>May-26</t>
        </is>
      </c>
      <c r="C26" s="12" t="n">
        <v>603282</v>
      </c>
      <c r="D26" s="12" t="n">
        <v>672531</v>
      </c>
      <c r="E26" s="13">
        <f>D26-C26</f>
        <v/>
      </c>
      <c r="F26" s="14">
        <f>(D26-C26)/C26</f>
        <v/>
      </c>
      <c r="G26" s="16">
        <f>IF(D26&lt;=C26,"On/Under","Over Budget")</f>
        <v/>
      </c>
    </row>
    <row r="27">
      <c r="A27" s="7" t="inlineStr">
        <is>
          <t>IT Support</t>
        </is>
      </c>
      <c r="B27" s="15" t="inlineStr">
        <is>
          <t>Jun-26</t>
        </is>
      </c>
      <c r="C27" s="8" t="n">
        <v>608030</v>
      </c>
      <c r="D27" s="8" t="n">
        <v>662204</v>
      </c>
      <c r="E27" s="9">
        <f>D27-C27</f>
        <v/>
      </c>
      <c r="F27" s="10">
        <f>(D27-C27)/C27</f>
        <v/>
      </c>
      <c r="G27" s="15">
        <f>IF(D27&lt;=C27,"On/Under","Over Budget")</f>
        <v/>
      </c>
    </row>
    <row r="28">
      <c r="A28" s="11" t="inlineStr">
        <is>
          <t>IT Support</t>
        </is>
      </c>
      <c r="B28" s="16" t="inlineStr">
        <is>
          <t>Jul-26</t>
        </is>
      </c>
      <c r="C28" s="12" t="n">
        <v>593479</v>
      </c>
      <c r="D28" s="12" t="n">
        <v>656029</v>
      </c>
      <c r="E28" s="13">
        <f>D28-C28</f>
        <v/>
      </c>
      <c r="F28" s="14">
        <f>(D28-C28)/C28</f>
        <v/>
      </c>
      <c r="G28" s="16">
        <f>IF(D28&lt;=C28,"On/Under","Over Budget")</f>
        <v/>
      </c>
    </row>
    <row r="29">
      <c r="A29" s="7" t="inlineStr">
        <is>
          <t>Admin</t>
        </is>
      </c>
      <c r="B29" s="15" t="inlineStr">
        <is>
          <t>Feb-26</t>
        </is>
      </c>
      <c r="C29" s="8" t="n">
        <v>725304</v>
      </c>
      <c r="D29" s="8" t="n">
        <v>823701</v>
      </c>
      <c r="E29" s="9">
        <f>D29-C29</f>
        <v/>
      </c>
      <c r="F29" s="10">
        <f>(D29-C29)/C29</f>
        <v/>
      </c>
      <c r="G29" s="15">
        <f>IF(D29&lt;=C29,"On/Under","Over Budget")</f>
        <v/>
      </c>
    </row>
    <row r="30">
      <c r="A30" s="11" t="inlineStr">
        <is>
          <t>Admin</t>
        </is>
      </c>
      <c r="B30" s="16" t="inlineStr">
        <is>
          <t>Mar-26</t>
        </is>
      </c>
      <c r="C30" s="12" t="n">
        <v>717218</v>
      </c>
      <c r="D30" s="12" t="n">
        <v>632615</v>
      </c>
      <c r="E30" s="13">
        <f>D30-C30</f>
        <v/>
      </c>
      <c r="F30" s="14">
        <f>(D30-C30)/C30</f>
        <v/>
      </c>
      <c r="G30" s="16">
        <f>IF(D30&lt;=C30,"On/Under","Over Budget")</f>
        <v/>
      </c>
    </row>
    <row r="31">
      <c r="A31" s="7" t="inlineStr">
        <is>
          <t>Admin</t>
        </is>
      </c>
      <c r="B31" s="15" t="inlineStr">
        <is>
          <t>Apr-26</t>
        </is>
      </c>
      <c r="C31" s="8" t="n">
        <v>710112</v>
      </c>
      <c r="D31" s="8" t="n">
        <v>737454</v>
      </c>
      <c r="E31" s="9">
        <f>D31-C31</f>
        <v/>
      </c>
      <c r="F31" s="10">
        <f>(D31-C31)/C31</f>
        <v/>
      </c>
      <c r="G31" s="15">
        <f>IF(D31&lt;=C31,"On/Under","Over Budget")</f>
        <v/>
      </c>
    </row>
    <row r="32">
      <c r="A32" s="11" t="inlineStr">
        <is>
          <t>Admin</t>
        </is>
      </c>
      <c r="B32" s="16" t="inlineStr">
        <is>
          <t>May-26</t>
        </is>
      </c>
      <c r="C32" s="12" t="n">
        <v>719602</v>
      </c>
      <c r="D32" s="12" t="n">
        <v>711621</v>
      </c>
      <c r="E32" s="13">
        <f>D32-C32</f>
        <v/>
      </c>
      <c r="F32" s="14">
        <f>(D32-C32)/C32</f>
        <v/>
      </c>
      <c r="G32" s="16">
        <f>IF(D32&lt;=C32,"On/Under","Over Budget")</f>
        <v/>
      </c>
    </row>
    <row r="33">
      <c r="A33" s="7" t="inlineStr">
        <is>
          <t>Admin</t>
        </is>
      </c>
      <c r="B33" s="15" t="inlineStr">
        <is>
          <t>Jun-26</t>
        </is>
      </c>
      <c r="C33" s="8" t="n">
        <v>741218</v>
      </c>
      <c r="D33" s="8" t="n">
        <v>654257</v>
      </c>
      <c r="E33" s="9">
        <f>D33-C33</f>
        <v/>
      </c>
      <c r="F33" s="10">
        <f>(D33-C33)/C33</f>
        <v/>
      </c>
      <c r="G33" s="15">
        <f>IF(D33&lt;=C33,"On/Under","Over Budget")</f>
        <v/>
      </c>
    </row>
    <row r="34">
      <c r="A34" s="11" t="inlineStr">
        <is>
          <t>Admin</t>
        </is>
      </c>
      <c r="B34" s="16" t="inlineStr">
        <is>
          <t>Jul-26</t>
        </is>
      </c>
      <c r="C34" s="12" t="n">
        <v>755911</v>
      </c>
      <c r="D34" s="12" t="n">
        <v>816178</v>
      </c>
      <c r="E34" s="13">
        <f>D34-C34</f>
        <v/>
      </c>
      <c r="F34" s="14">
        <f>(D34-C34)/C34</f>
        <v/>
      </c>
      <c r="G34" s="16">
        <f>IF(D34&lt;=C34,"On/Under","Over Budget")</f>
        <v/>
      </c>
    </row>
    <row r="35">
      <c r="A35" s="7" t="inlineStr">
        <is>
          <t>Quality</t>
        </is>
      </c>
      <c r="B35" s="15" t="inlineStr">
        <is>
          <t>Feb-26</t>
        </is>
      </c>
      <c r="C35" s="8" t="n">
        <v>644732</v>
      </c>
      <c r="D35" s="8" t="n">
        <v>614774</v>
      </c>
      <c r="E35" s="9">
        <f>D35-C35</f>
        <v/>
      </c>
      <c r="F35" s="10">
        <f>(D35-C35)/C35</f>
        <v/>
      </c>
      <c r="G35" s="15">
        <f>IF(D35&lt;=C35,"On/Under","Over Budget")</f>
        <v/>
      </c>
    </row>
    <row r="36">
      <c r="A36" s="11" t="inlineStr">
        <is>
          <t>Quality</t>
        </is>
      </c>
      <c r="B36" s="16" t="inlineStr">
        <is>
          <t>Mar-26</t>
        </is>
      </c>
      <c r="C36" s="12" t="n">
        <v>608623</v>
      </c>
      <c r="D36" s="12" t="n">
        <v>587707</v>
      </c>
      <c r="E36" s="13">
        <f>D36-C36</f>
        <v/>
      </c>
      <c r="F36" s="14">
        <f>(D36-C36)/C36</f>
        <v/>
      </c>
      <c r="G36" s="16">
        <f>IF(D36&lt;=C36,"On/Under","Over Budget")</f>
        <v/>
      </c>
    </row>
    <row r="37">
      <c r="A37" s="7" t="inlineStr">
        <is>
          <t>Quality</t>
        </is>
      </c>
      <c r="B37" s="15" t="inlineStr">
        <is>
          <t>Apr-26</t>
        </is>
      </c>
      <c r="C37" s="8" t="n">
        <v>658112</v>
      </c>
      <c r="D37" s="8" t="n">
        <v>743659</v>
      </c>
      <c r="E37" s="9">
        <f>D37-C37</f>
        <v/>
      </c>
      <c r="F37" s="10">
        <f>(D37-C37)/C37</f>
        <v/>
      </c>
      <c r="G37" s="15">
        <f>IF(D37&lt;=C37,"On/Under","Over Budget")</f>
        <v/>
      </c>
    </row>
    <row r="38">
      <c r="A38" s="11" t="inlineStr">
        <is>
          <t>Quality</t>
        </is>
      </c>
      <c r="B38" s="16" t="inlineStr">
        <is>
          <t>May-26</t>
        </is>
      </c>
      <c r="C38" s="12" t="n">
        <v>637254</v>
      </c>
      <c r="D38" s="12" t="n">
        <v>655211</v>
      </c>
      <c r="E38" s="13">
        <f>D38-C38</f>
        <v/>
      </c>
      <c r="F38" s="14">
        <f>(D38-C38)/C38</f>
        <v/>
      </c>
      <c r="G38" s="16">
        <f>IF(D38&lt;=C38,"On/Under","Over Budget")</f>
        <v/>
      </c>
    </row>
    <row r="39">
      <c r="A39" s="7" t="inlineStr">
        <is>
          <t>Quality</t>
        </is>
      </c>
      <c r="B39" s="15" t="inlineStr">
        <is>
          <t>Jun-26</t>
        </is>
      </c>
      <c r="C39" s="8" t="n">
        <v>637987</v>
      </c>
      <c r="D39" s="8" t="n">
        <v>635688</v>
      </c>
      <c r="E39" s="9">
        <f>D39-C39</f>
        <v/>
      </c>
      <c r="F39" s="10">
        <f>(D39-C39)/C39</f>
        <v/>
      </c>
      <c r="G39" s="15">
        <f>IF(D39&lt;=C39,"On/Under","Over Budget")</f>
        <v/>
      </c>
    </row>
    <row r="40">
      <c r="A40" s="11" t="inlineStr">
        <is>
          <t>Quality</t>
        </is>
      </c>
      <c r="B40" s="16" t="inlineStr">
        <is>
          <t>Jul-26</t>
        </is>
      </c>
      <c r="C40" s="12" t="n">
        <v>609501</v>
      </c>
      <c r="D40" s="12" t="n">
        <v>637517</v>
      </c>
      <c r="E40" s="13">
        <f>D40-C40</f>
        <v/>
      </c>
      <c r="F40" s="14">
        <f>(D40-C40)/C40</f>
        <v/>
      </c>
      <c r="G40" s="16">
        <f>IF(D40&lt;=C40,"On/Under","Over Budget")</f>
        <v/>
      </c>
    </row>
    <row r="41">
      <c r="A41" s="7" t="inlineStr">
        <is>
          <t>Team Leaders</t>
        </is>
      </c>
      <c r="B41" s="15" t="inlineStr">
        <is>
          <t>Feb-26</t>
        </is>
      </c>
      <c r="C41" s="8" t="n">
        <v>681535</v>
      </c>
      <c r="D41" s="8" t="n">
        <v>644091</v>
      </c>
      <c r="E41" s="9">
        <f>D41-C41</f>
        <v/>
      </c>
      <c r="F41" s="10">
        <f>(D41-C41)/C41</f>
        <v/>
      </c>
      <c r="G41" s="15">
        <f>IF(D41&lt;=C41,"On/Under","Over Budget")</f>
        <v/>
      </c>
    </row>
    <row r="42">
      <c r="A42" s="11" t="inlineStr">
        <is>
          <t>Team Leaders</t>
        </is>
      </c>
      <c r="B42" s="16" t="inlineStr">
        <is>
          <t>Mar-26</t>
        </is>
      </c>
      <c r="C42" s="12" t="n">
        <v>691031</v>
      </c>
      <c r="D42" s="12" t="n">
        <v>775507</v>
      </c>
      <c r="E42" s="13">
        <f>D42-C42</f>
        <v/>
      </c>
      <c r="F42" s="14">
        <f>(D42-C42)/C42</f>
        <v/>
      </c>
      <c r="G42" s="16">
        <f>IF(D42&lt;=C42,"On/Under","Over Budget")</f>
        <v/>
      </c>
    </row>
    <row r="43">
      <c r="A43" s="7" t="inlineStr">
        <is>
          <t>Team Leaders</t>
        </is>
      </c>
      <c r="B43" s="15" t="inlineStr">
        <is>
          <t>Apr-26</t>
        </is>
      </c>
      <c r="C43" s="8" t="n">
        <v>695677</v>
      </c>
      <c r="D43" s="8" t="n">
        <v>708602</v>
      </c>
      <c r="E43" s="9">
        <f>D43-C43</f>
        <v/>
      </c>
      <c r="F43" s="10">
        <f>(D43-C43)/C43</f>
        <v/>
      </c>
      <c r="G43" s="15">
        <f>IF(D43&lt;=C43,"On/Under","Over Budget")</f>
        <v/>
      </c>
    </row>
    <row r="44">
      <c r="A44" s="11" t="inlineStr">
        <is>
          <t>Team Leaders</t>
        </is>
      </c>
      <c r="B44" s="16" t="inlineStr">
        <is>
          <t>May-26</t>
        </is>
      </c>
      <c r="C44" s="12" t="n">
        <v>701837</v>
      </c>
      <c r="D44" s="12" t="n">
        <v>708599</v>
      </c>
      <c r="E44" s="13">
        <f>D44-C44</f>
        <v/>
      </c>
      <c r="F44" s="14">
        <f>(D44-C44)/C44</f>
        <v/>
      </c>
      <c r="G44" s="16">
        <f>IF(D44&lt;=C44,"On/Under","Over Budget")</f>
        <v/>
      </c>
    </row>
    <row r="45">
      <c r="A45" s="7" t="inlineStr">
        <is>
          <t>Team Leaders</t>
        </is>
      </c>
      <c r="B45" s="15" t="inlineStr">
        <is>
          <t>Jun-26</t>
        </is>
      </c>
      <c r="C45" s="8" t="n">
        <v>710380</v>
      </c>
      <c r="D45" s="8" t="n">
        <v>743074</v>
      </c>
      <c r="E45" s="9">
        <f>D45-C45</f>
        <v/>
      </c>
      <c r="F45" s="10">
        <f>(D45-C45)/C45</f>
        <v/>
      </c>
      <c r="G45" s="15">
        <f>IF(D45&lt;=C45,"On/Under","Over Budget")</f>
        <v/>
      </c>
    </row>
    <row r="46">
      <c r="A46" s="11" t="inlineStr">
        <is>
          <t>Team Leaders</t>
        </is>
      </c>
      <c r="B46" s="16" t="inlineStr">
        <is>
          <t>Jul-26</t>
        </is>
      </c>
      <c r="C46" s="12" t="n">
        <v>705224</v>
      </c>
      <c r="D46" s="12" t="n">
        <v>668577</v>
      </c>
      <c r="E46" s="13">
        <f>D46-C46</f>
        <v/>
      </c>
      <c r="F46" s="14">
        <f>(D46-C46)/C46</f>
        <v/>
      </c>
      <c r="G46" s="16">
        <f>IF(D46&lt;=C46,"On/Under","Over Budget")</f>
        <v/>
      </c>
    </row>
    <row r="47">
      <c r="A47" s="7" t="inlineStr">
        <is>
          <t>Training</t>
        </is>
      </c>
      <c r="B47" s="15" t="inlineStr">
        <is>
          <t>Feb-26</t>
        </is>
      </c>
      <c r="C47" s="8" t="n">
        <v>651463</v>
      </c>
      <c r="D47" s="8" t="n">
        <v>709879</v>
      </c>
      <c r="E47" s="9">
        <f>D47-C47</f>
        <v/>
      </c>
      <c r="F47" s="10">
        <f>(D47-C47)/C47</f>
        <v/>
      </c>
      <c r="G47" s="15">
        <f>IF(D47&lt;=C47,"On/Under","Over Budget")</f>
        <v/>
      </c>
    </row>
    <row r="48">
      <c r="A48" s="11" t="inlineStr">
        <is>
          <t>Training</t>
        </is>
      </c>
      <c r="B48" s="16" t="inlineStr">
        <is>
          <t>Mar-26</t>
        </is>
      </c>
      <c r="C48" s="12" t="n">
        <v>662968</v>
      </c>
      <c r="D48" s="12" t="n">
        <v>641198</v>
      </c>
      <c r="E48" s="13">
        <f>D48-C48</f>
        <v/>
      </c>
      <c r="F48" s="14">
        <f>(D48-C48)/C48</f>
        <v/>
      </c>
      <c r="G48" s="16">
        <f>IF(D48&lt;=C48,"On/Under","Over Budget")</f>
        <v/>
      </c>
    </row>
    <row r="49">
      <c r="A49" s="7" t="inlineStr">
        <is>
          <t>Training</t>
        </is>
      </c>
      <c r="B49" s="15" t="inlineStr">
        <is>
          <t>Apr-26</t>
        </is>
      </c>
      <c r="C49" s="8" t="n">
        <v>704254</v>
      </c>
      <c r="D49" s="8" t="n">
        <v>773474</v>
      </c>
      <c r="E49" s="9">
        <f>D49-C49</f>
        <v/>
      </c>
      <c r="F49" s="10">
        <f>(D49-C49)/C49</f>
        <v/>
      </c>
      <c r="G49" s="15">
        <f>IF(D49&lt;=C49,"On/Under","Over Budget")</f>
        <v/>
      </c>
    </row>
    <row r="50">
      <c r="A50" s="11" t="inlineStr">
        <is>
          <t>Training</t>
        </is>
      </c>
      <c r="B50" s="16" t="inlineStr">
        <is>
          <t>May-26</t>
        </is>
      </c>
      <c r="C50" s="12" t="n">
        <v>669244</v>
      </c>
      <c r="D50" s="12" t="n">
        <v>605317</v>
      </c>
      <c r="E50" s="13">
        <f>D50-C50</f>
        <v/>
      </c>
      <c r="F50" s="14">
        <f>(D50-C50)/C50</f>
        <v/>
      </c>
      <c r="G50" s="16">
        <f>IF(D50&lt;=C50,"On/Under","Over Budget")</f>
        <v/>
      </c>
    </row>
    <row r="51">
      <c r="A51" s="7" t="inlineStr">
        <is>
          <t>Training</t>
        </is>
      </c>
      <c r="B51" s="15" t="inlineStr">
        <is>
          <t>Jun-26</t>
        </is>
      </c>
      <c r="C51" s="8" t="n">
        <v>683715</v>
      </c>
      <c r="D51" s="8" t="n">
        <v>614366</v>
      </c>
      <c r="E51" s="9">
        <f>D51-C51</f>
        <v/>
      </c>
      <c r="F51" s="10">
        <f>(D51-C51)/C51</f>
        <v/>
      </c>
      <c r="G51" s="15">
        <f>IF(D51&lt;=C51,"On/Under","Over Budget")</f>
        <v/>
      </c>
    </row>
    <row r="52">
      <c r="A52" s="11" t="inlineStr">
        <is>
          <t>Training</t>
        </is>
      </c>
      <c r="B52" s="16" t="inlineStr">
        <is>
          <t>Jul-26</t>
        </is>
      </c>
      <c r="C52" s="12" t="n">
        <v>682977</v>
      </c>
      <c r="D52" s="12" t="n">
        <v>637916</v>
      </c>
      <c r="E52" s="13">
        <f>D52-C52</f>
        <v/>
      </c>
      <c r="F52" s="14">
        <f>(D52-C52)/C52</f>
        <v/>
      </c>
      <c r="G52" s="16">
        <f>IF(D52&lt;=C52,"On/Under","Over Budget")</f>
        <v/>
      </c>
    </row>
    <row r="53">
      <c r="A53" s="17" t="inlineStr">
        <is>
          <t>TOTAL</t>
        </is>
      </c>
      <c r="B53" s="18" t="n"/>
      <c r="C53" s="19">
        <f>SUM(C5:C52)</f>
        <v/>
      </c>
      <c r="D53" s="19">
        <f>SUM(D5:D52)</f>
        <v/>
      </c>
      <c r="E53" s="19">
        <f>SUM(E5:E52)</f>
        <v/>
      </c>
      <c r="F53" s="20">
        <f>E53/C53</f>
        <v/>
      </c>
      <c r="G53" s="18" t="n"/>
    </row>
  </sheetData>
  <mergeCells count="2">
    <mergeCell ref="A2:H2"/>
    <mergeCell ref="A1:H1"/>
  </mergeCells>
  <conditionalFormatting sqref="G5:G52">
    <cfRule type="cellIs" priority="1" operator="equal" dxfId="0">
      <formula>"Over Budget"</formula>
    </cfRule>
    <cfRule type="cellIs" priority="2" operator="equal" dxfId="1">
      <formula>"On/Under"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2026-08-08T23:43:52Z</dcterms:created>
  <dcterms:modified xmlns:dcterms="http://purl.org/dc/terms/" xmlns:xsi="http://www.w3.org/2001/XMLSchema-instance" xsi:type="dcterms:W3CDTF">2026-08-08T23:43:52Z</dcterms:modified>
</cp:coreProperties>
</file>