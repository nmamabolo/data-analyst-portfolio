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tel\OneDrive\Desktop\Unique Sound\Excel-Portfolio-Advanced\"/>
    </mc:Choice>
  </mc:AlternateContent>
  <xr:revisionPtr revIDLastSave="0" documentId="13_ncr:1_{7A4FE37F-08C0-49B6-930A-944FC6756FD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WFM Mode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" l="1"/>
  <c r="G55" i="2" s="1"/>
  <c r="H55" i="2" s="1"/>
  <c r="F54" i="2"/>
  <c r="G54" i="2" s="1"/>
  <c r="H54" i="2" s="1"/>
  <c r="F53" i="2"/>
  <c r="G53" i="2" s="1"/>
  <c r="H53" i="2" s="1"/>
  <c r="F52" i="2"/>
  <c r="G52" i="2" s="1"/>
  <c r="F51" i="2"/>
  <c r="G51" i="2" s="1"/>
  <c r="H51" i="2" s="1"/>
  <c r="F50" i="2"/>
  <c r="G50" i="2" s="1"/>
  <c r="H50" i="2" s="1"/>
  <c r="F49" i="2"/>
  <c r="G49" i="2" s="1"/>
  <c r="H49" i="2" s="1"/>
  <c r="F48" i="2"/>
  <c r="G48" i="2" s="1"/>
  <c r="F47" i="2"/>
  <c r="G47" i="2" s="1"/>
  <c r="H47" i="2" s="1"/>
  <c r="F46" i="2"/>
  <c r="G46" i="2" s="1"/>
  <c r="H46" i="2" s="1"/>
  <c r="F45" i="2"/>
  <c r="G45" i="2" s="1"/>
  <c r="H45" i="2" s="1"/>
  <c r="F44" i="2"/>
  <c r="G44" i="2" s="1"/>
  <c r="F43" i="2"/>
  <c r="G43" i="2" s="1"/>
  <c r="H43" i="2" s="1"/>
  <c r="F42" i="2"/>
  <c r="G42" i="2" s="1"/>
  <c r="H42" i="2" s="1"/>
  <c r="F41" i="2"/>
  <c r="G41" i="2" s="1"/>
  <c r="H41" i="2" s="1"/>
  <c r="F40" i="2"/>
  <c r="G40" i="2" s="1"/>
  <c r="F39" i="2"/>
  <c r="G39" i="2" s="1"/>
  <c r="H39" i="2" s="1"/>
  <c r="F38" i="2"/>
  <c r="G38" i="2" s="1"/>
  <c r="H38" i="2" s="1"/>
  <c r="F37" i="2"/>
  <c r="G37" i="2" s="1"/>
  <c r="H37" i="2" s="1"/>
  <c r="F36" i="2"/>
  <c r="G36" i="2" s="1"/>
  <c r="F35" i="2"/>
  <c r="G35" i="2" s="1"/>
  <c r="H35" i="2" s="1"/>
  <c r="F34" i="2"/>
  <c r="G34" i="2" s="1"/>
  <c r="H34" i="2" s="1"/>
  <c r="F33" i="2"/>
  <c r="G33" i="2" s="1"/>
  <c r="H33" i="2" s="1"/>
  <c r="F32" i="2"/>
  <c r="G32" i="2" s="1"/>
  <c r="F31" i="2"/>
  <c r="G31" i="2" s="1"/>
  <c r="H31" i="2" s="1"/>
  <c r="F30" i="2"/>
  <c r="G30" i="2" s="1"/>
  <c r="H30" i="2" s="1"/>
  <c r="F29" i="2"/>
  <c r="G29" i="2" s="1"/>
  <c r="H29" i="2" s="1"/>
  <c r="F28" i="2"/>
  <c r="G28" i="2" s="1"/>
  <c r="F27" i="2"/>
  <c r="G27" i="2" s="1"/>
  <c r="H27" i="2" s="1"/>
  <c r="F26" i="2"/>
  <c r="G26" i="2" s="1"/>
  <c r="H26" i="2" s="1"/>
  <c r="F25" i="2"/>
  <c r="G25" i="2" s="1"/>
  <c r="H25" i="2" s="1"/>
  <c r="F24" i="2"/>
  <c r="G24" i="2" s="1"/>
  <c r="F23" i="2"/>
  <c r="G23" i="2" s="1"/>
  <c r="H23" i="2" s="1"/>
  <c r="F22" i="2"/>
  <c r="G22" i="2" s="1"/>
  <c r="H22" i="2" s="1"/>
  <c r="F21" i="2"/>
  <c r="G21" i="2" s="1"/>
  <c r="H21" i="2" s="1"/>
  <c r="F20" i="2"/>
  <c r="G20" i="2" s="1"/>
  <c r="F19" i="2"/>
  <c r="G19" i="2" s="1"/>
  <c r="H19" i="2" s="1"/>
  <c r="F18" i="2"/>
  <c r="G18" i="2" s="1"/>
  <c r="H18" i="2" s="1"/>
  <c r="F17" i="2"/>
  <c r="G17" i="2" s="1"/>
  <c r="H17" i="2" s="1"/>
  <c r="F16" i="2"/>
  <c r="G16" i="2" s="1"/>
  <c r="F15" i="2"/>
  <c r="G15" i="2" s="1"/>
  <c r="H15" i="2" s="1"/>
  <c r="F14" i="2"/>
  <c r="G14" i="2" s="1"/>
  <c r="H14" i="2" s="1"/>
  <c r="F13" i="2"/>
  <c r="G13" i="2" s="1"/>
  <c r="H13" i="2" s="1"/>
  <c r="F12" i="2"/>
  <c r="G12" i="2" s="1"/>
  <c r="F11" i="2"/>
  <c r="G11" i="2" s="1"/>
  <c r="H11" i="2" s="1"/>
  <c r="F10" i="2"/>
  <c r="G10" i="2" s="1"/>
  <c r="H10" i="2" s="1"/>
  <c r="F9" i="2"/>
  <c r="G9" i="2" s="1"/>
  <c r="H9" i="2" s="1"/>
  <c r="F8" i="2"/>
  <c r="G8" i="2" s="1"/>
  <c r="I5" i="1"/>
  <c r="A5" i="1"/>
  <c r="I55" i="2" l="1"/>
  <c r="J55" i="2"/>
  <c r="K55" i="2" s="1"/>
  <c r="I54" i="2"/>
  <c r="J54" i="2"/>
  <c r="K54" i="2" s="1"/>
  <c r="I53" i="2"/>
  <c r="J53" i="2"/>
  <c r="K53" i="2" s="1"/>
  <c r="H52" i="2"/>
  <c r="B20" i="1"/>
  <c r="I51" i="2"/>
  <c r="J51" i="2"/>
  <c r="K51" i="2" s="1"/>
  <c r="I50" i="2"/>
  <c r="J50" i="2"/>
  <c r="K50" i="2" s="1"/>
  <c r="I49" i="2"/>
  <c r="J49" i="2"/>
  <c r="K49" i="2" s="1"/>
  <c r="H48" i="2"/>
  <c r="B19" i="1"/>
  <c r="I47" i="2"/>
  <c r="J47" i="2"/>
  <c r="K47" i="2" s="1"/>
  <c r="I46" i="2"/>
  <c r="J46" i="2"/>
  <c r="K46" i="2" s="1"/>
  <c r="I45" i="2"/>
  <c r="J45" i="2"/>
  <c r="K45" i="2" s="1"/>
  <c r="H44" i="2"/>
  <c r="B18" i="1"/>
  <c r="I43" i="2"/>
  <c r="J43" i="2"/>
  <c r="K43" i="2" s="1"/>
  <c r="I42" i="2"/>
  <c r="J42" i="2"/>
  <c r="K42" i="2" s="1"/>
  <c r="I41" i="2"/>
  <c r="J41" i="2"/>
  <c r="K41" i="2" s="1"/>
  <c r="H40" i="2"/>
  <c r="B17" i="1"/>
  <c r="I39" i="2"/>
  <c r="J39" i="2"/>
  <c r="K39" i="2" s="1"/>
  <c r="I38" i="2"/>
  <c r="J38" i="2"/>
  <c r="K38" i="2" s="1"/>
  <c r="I37" i="2"/>
  <c r="J37" i="2"/>
  <c r="K37" i="2" s="1"/>
  <c r="H36" i="2"/>
  <c r="B16" i="1"/>
  <c r="I35" i="2"/>
  <c r="J35" i="2"/>
  <c r="K35" i="2" s="1"/>
  <c r="I34" i="2"/>
  <c r="J34" i="2"/>
  <c r="K34" i="2" s="1"/>
  <c r="I33" i="2"/>
  <c r="J33" i="2"/>
  <c r="K33" i="2" s="1"/>
  <c r="H32" i="2"/>
  <c r="B15" i="1"/>
  <c r="I31" i="2"/>
  <c r="J31" i="2"/>
  <c r="K31" i="2" s="1"/>
  <c r="I30" i="2"/>
  <c r="J30" i="2"/>
  <c r="K30" i="2" s="1"/>
  <c r="I29" i="2"/>
  <c r="J29" i="2"/>
  <c r="K29" i="2" s="1"/>
  <c r="H28" i="2"/>
  <c r="B14" i="1"/>
  <c r="I27" i="2"/>
  <c r="J27" i="2"/>
  <c r="K27" i="2" s="1"/>
  <c r="I26" i="2"/>
  <c r="J26" i="2"/>
  <c r="K26" i="2" s="1"/>
  <c r="I25" i="2"/>
  <c r="J25" i="2"/>
  <c r="K25" i="2" s="1"/>
  <c r="H24" i="2"/>
  <c r="B13" i="1"/>
  <c r="I23" i="2"/>
  <c r="J23" i="2"/>
  <c r="K23" i="2" s="1"/>
  <c r="I22" i="2"/>
  <c r="J22" i="2"/>
  <c r="K22" i="2" s="1"/>
  <c r="I21" i="2"/>
  <c r="J21" i="2"/>
  <c r="K21" i="2" s="1"/>
  <c r="H20" i="2"/>
  <c r="B12" i="1"/>
  <c r="I19" i="2"/>
  <c r="J19" i="2"/>
  <c r="K19" i="2" s="1"/>
  <c r="I18" i="2"/>
  <c r="J18" i="2"/>
  <c r="K18" i="2" s="1"/>
  <c r="I17" i="2"/>
  <c r="J17" i="2"/>
  <c r="K17" i="2" s="1"/>
  <c r="H16" i="2"/>
  <c r="B11" i="1"/>
  <c r="I15" i="2"/>
  <c r="J15" i="2"/>
  <c r="K15" i="2" s="1"/>
  <c r="I14" i="2"/>
  <c r="J14" i="2"/>
  <c r="K14" i="2" s="1"/>
  <c r="I13" i="2"/>
  <c r="J13" i="2"/>
  <c r="K13" i="2" s="1"/>
  <c r="H12" i="2"/>
  <c r="B10" i="1"/>
  <c r="I11" i="2"/>
  <c r="J11" i="2"/>
  <c r="K11" i="2" s="1"/>
  <c r="I10" i="2"/>
  <c r="J10" i="2"/>
  <c r="K10" i="2" s="1"/>
  <c r="I9" i="2"/>
  <c r="J9" i="2"/>
  <c r="K9" i="2" s="1"/>
  <c r="H8" i="2"/>
  <c r="C5" i="1"/>
  <c r="B9" i="1"/>
  <c r="I52" i="2" l="1"/>
  <c r="J52" i="2"/>
  <c r="K52" i="2" s="1"/>
  <c r="C20" i="1"/>
  <c r="I48" i="2"/>
  <c r="J48" i="2"/>
  <c r="K48" i="2" s="1"/>
  <c r="C19" i="1"/>
  <c r="I44" i="2"/>
  <c r="J44" i="2"/>
  <c r="K44" i="2" s="1"/>
  <c r="C18" i="1"/>
  <c r="I40" i="2"/>
  <c r="J40" i="2"/>
  <c r="K40" i="2" s="1"/>
  <c r="C17" i="1"/>
  <c r="I36" i="2"/>
  <c r="J36" i="2"/>
  <c r="K36" i="2" s="1"/>
  <c r="C16" i="1"/>
  <c r="I32" i="2"/>
  <c r="J32" i="2"/>
  <c r="K32" i="2" s="1"/>
  <c r="C15" i="1"/>
  <c r="I28" i="2"/>
  <c r="J28" i="2"/>
  <c r="K28" i="2" s="1"/>
  <c r="C14" i="1"/>
  <c r="I24" i="2"/>
  <c r="J24" i="2"/>
  <c r="K24" i="2" s="1"/>
  <c r="C13" i="1"/>
  <c r="I20" i="2"/>
  <c r="J20" i="2"/>
  <c r="K20" i="2" s="1"/>
  <c r="C12" i="1"/>
  <c r="I16" i="2"/>
  <c r="J16" i="2"/>
  <c r="K16" i="2" s="1"/>
  <c r="C11" i="1"/>
  <c r="I12" i="2"/>
  <c r="J12" i="2"/>
  <c r="K12" i="2" s="1"/>
  <c r="C10" i="1"/>
  <c r="I8" i="2"/>
  <c r="J8" i="2"/>
  <c r="K8" i="2" s="1"/>
  <c r="E5" i="1"/>
  <c r="C9" i="1"/>
  <c r="G5" i="1" l="1"/>
  <c r="K5" i="1"/>
  <c r="D20" i="1"/>
  <c r="E20" i="1"/>
  <c r="D19" i="1"/>
  <c r="E19" i="1"/>
  <c r="D18" i="1"/>
  <c r="E18" i="1"/>
  <c r="D17" i="1"/>
  <c r="E17" i="1"/>
  <c r="D16" i="1"/>
  <c r="E16" i="1"/>
  <c r="D15" i="1"/>
  <c r="E15" i="1"/>
  <c r="D14" i="1"/>
  <c r="E14" i="1"/>
  <c r="D13" i="1"/>
  <c r="E13" i="1"/>
  <c r="D12" i="1"/>
  <c r="E12" i="1"/>
  <c r="D11" i="1"/>
  <c r="E11" i="1"/>
  <c r="D10" i="1"/>
  <c r="E10" i="1"/>
  <c r="D9" i="1"/>
  <c r="E9" i="1"/>
</calcChain>
</file>

<file path=xl/sharedStrings.xml><?xml version="1.0" encoding="utf-8"?>
<sst xmlns="http://schemas.openxmlformats.org/spreadsheetml/2006/main" count="136" uniqueCount="40">
  <si>
    <t>Capacity Planning Dashboard</t>
  </si>
  <si>
    <t>Aggregated from the WFM Model tab</t>
  </si>
  <si>
    <t>Total Forecast Contacts</t>
  </si>
  <si>
    <t>Total Required FTE</t>
  </si>
  <si>
    <t>Total Scheduled FTE</t>
  </si>
  <si>
    <t>Net Variance (FTE)</t>
  </si>
  <si>
    <t>Avg Shrinkage</t>
  </si>
  <si>
    <t>Understaffed Slots</t>
  </si>
  <si>
    <t>Campaign</t>
  </si>
  <si>
    <t>Required FTE</t>
  </si>
  <si>
    <t>Scheduled FTE</t>
  </si>
  <si>
    <t>Variance</t>
  </si>
  <si>
    <t>Avg Coverage</t>
  </si>
  <si>
    <t>Vodacom Upgrades</t>
  </si>
  <si>
    <t>ABSA Collections</t>
  </si>
  <si>
    <t>MTN Retentions</t>
  </si>
  <si>
    <t>Takealot Care</t>
  </si>
  <si>
    <t>Telkom Tech Support</t>
  </si>
  <si>
    <t>Nedbank Debt Review</t>
  </si>
  <si>
    <t>DStv Upsell</t>
  </si>
  <si>
    <t>Discovery Lead Gen</t>
  </si>
  <si>
    <t>Cell C Winback</t>
  </si>
  <si>
    <t>OUTsurance Sales</t>
  </si>
  <si>
    <t>Standard Bank Helpdesk</t>
  </si>
  <si>
    <t>Shoprite Surveys</t>
  </si>
  <si>
    <t>Workforce Capacity &amp; Shrinkage Model — Required vs Scheduled FTE</t>
  </si>
  <si>
    <t>Erlang-style staffing: contacts × AHT → productive hours → Required FTE (net of shrinkage &amp; occupancy)</t>
  </si>
  <si>
    <t>Paid hours / FTE / week</t>
  </si>
  <si>
    <t>Target occupancy</t>
  </si>
  <si>
    <t>Week</t>
  </si>
  <si>
    <t>Forecast Contacts</t>
  </si>
  <si>
    <t>AHT (sec)</t>
  </si>
  <si>
    <t>Shrinkage %</t>
  </si>
  <si>
    <t>Req. Prod. Hours</t>
  </si>
  <si>
    <t>Coverage %</t>
  </si>
  <si>
    <t>Service Risk</t>
  </si>
  <si>
    <t>Wk 27</t>
  </si>
  <si>
    <t>Wk 28</t>
  </si>
  <si>
    <t>Wk 29</t>
  </si>
  <si>
    <t>Wk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</si>
</sst>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;[Red]\-0.0"/>
  </numFmts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9"/>
      <color rgb="FF595959"/>
      <name val="Arial"/>
    </font>
    <font>
      <b/>
      <sz val="1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sz val="10"/>
      <name val="Arial"/>
    </font>
    <font>
      <b/>
      <sz val="9"/>
      <color rgb="FFFFFFFF"/>
      <name val="Arial"/>
    </font>
    <font>
      <b/>
      <sz val="15"/>
      <color rgb="FF1F3864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B9C"/>
      </patternFill>
    </fill>
    <fill>
      <patternFill patternType="solid">
        <fgColor rgb="FF2E5496"/>
      </patternFill>
    </fill>
    <fill>
      <patternFill patternType="solid">
        <fgColor rgb="FFEAF0FA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4" fillId="3" borderId="0" xfId="0" applyFont="1" applyFill="1"/>
    <xf numFmtId="164" fontId="4" fillId="3" borderId="0" xfId="0" applyNumberFormat="1" applyFont="1" applyFill="1"/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3" fontId="8" fillId="5" borderId="0" xfId="0" applyNumberFormat="1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Required vs Scheduled FTE by Campaign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Required FTE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Dashboard!$A$9:$A$20</c:f>
              <c:strCache>
                <c:ptCount val="12"/>
                <c:pt idx="0">
                  <c:v>Vodacom Upgrades</c:v>
                </c:pt>
                <c:pt idx="1">
                  <c:v>ABSA Collections</c:v>
                </c:pt>
                <c:pt idx="2">
                  <c:v>MTN Retentions</c:v>
                </c:pt>
                <c:pt idx="3">
                  <c:v>Takealot Care</c:v>
                </c:pt>
                <c:pt idx="4">
                  <c:v>Telkom Tech Support</c:v>
                </c:pt>
                <c:pt idx="5">
                  <c:v>Nedbank Debt Review</c:v>
                </c:pt>
                <c:pt idx="6">
                  <c:v>DStv Upsell</c:v>
                </c:pt>
                <c:pt idx="7">
                  <c:v>Discovery Lead Gen</c:v>
                </c:pt>
                <c:pt idx="8">
                  <c:v>Cell C Winback</c:v>
                </c:pt>
                <c:pt idx="9">
                  <c:v>OUTsurance Sales</c:v>
                </c:pt>
                <c:pt idx="10">
                  <c:v>Standard Bank Helpdesk</c:v>
                </c:pt>
                <c:pt idx="11">
                  <c:v>Shoprite Surveys</c:v>
                </c:pt>
              </c:strCache>
            </c:strRef>
          </c:cat>
          <c:val>
            <c:numRef>
              <c:f>Dashboard!$B$9:$B$20</c:f>
              <c:numCache>
                <c:formatCode>0.0</c:formatCode>
                <c:ptCount val="12"/>
                <c:pt idx="0">
                  <c:v>35.711930621147751</c:v>
                </c:pt>
                <c:pt idx="1">
                  <c:v>31.997153698626047</c:v>
                </c:pt>
                <c:pt idx="2">
                  <c:v>110.86137910195168</c:v>
                </c:pt>
                <c:pt idx="3">
                  <c:v>46.550524716248852</c:v>
                </c:pt>
                <c:pt idx="4">
                  <c:v>44.876913433641448</c:v>
                </c:pt>
                <c:pt idx="5">
                  <c:v>58.038536803523236</c:v>
                </c:pt>
                <c:pt idx="6">
                  <c:v>42.655961520091836</c:v>
                </c:pt>
                <c:pt idx="7">
                  <c:v>52.721568565032953</c:v>
                </c:pt>
                <c:pt idx="8">
                  <c:v>49.761671819077442</c:v>
                </c:pt>
                <c:pt idx="9">
                  <c:v>39.735581099455047</c:v>
                </c:pt>
                <c:pt idx="10">
                  <c:v>64.400021845603419</c:v>
                </c:pt>
                <c:pt idx="11">
                  <c:v>78.161851898851751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F-4945-B60C-FD4129E0DF03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Scheduled FTE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Dashboard!$A$9:$A$20</c:f>
              <c:strCache>
                <c:ptCount val="12"/>
                <c:pt idx="0">
                  <c:v>Vodacom Upgrades</c:v>
                </c:pt>
                <c:pt idx="1">
                  <c:v>ABSA Collections</c:v>
                </c:pt>
                <c:pt idx="2">
                  <c:v>MTN Retentions</c:v>
                </c:pt>
                <c:pt idx="3">
                  <c:v>Takealot Care</c:v>
                </c:pt>
                <c:pt idx="4">
                  <c:v>Telkom Tech Support</c:v>
                </c:pt>
                <c:pt idx="5">
                  <c:v>Nedbank Debt Review</c:v>
                </c:pt>
                <c:pt idx="6">
                  <c:v>DStv Upsell</c:v>
                </c:pt>
                <c:pt idx="7">
                  <c:v>Discovery Lead Gen</c:v>
                </c:pt>
                <c:pt idx="8">
                  <c:v>Cell C Winback</c:v>
                </c:pt>
                <c:pt idx="9">
                  <c:v>OUTsurance Sales</c:v>
                </c:pt>
                <c:pt idx="10">
                  <c:v>Standard Bank Helpdesk</c:v>
                </c:pt>
                <c:pt idx="11">
                  <c:v>Shoprite Surveys</c:v>
                </c:pt>
              </c:strCache>
            </c:strRef>
          </c:cat>
          <c:val>
            <c:numRef>
              <c:f>Dashboard!$C$9:$C$20</c:f>
              <c:numCache>
                <c:formatCode>0.0</c:formatCode>
                <c:ptCount val="12"/>
                <c:pt idx="0">
                  <c:v>38</c:v>
                </c:pt>
                <c:pt idx="1">
                  <c:v>31</c:v>
                </c:pt>
                <c:pt idx="2">
                  <c:v>115</c:v>
                </c:pt>
                <c:pt idx="3">
                  <c:v>46</c:v>
                </c:pt>
                <c:pt idx="4">
                  <c:v>45</c:v>
                </c:pt>
                <c:pt idx="5">
                  <c:v>57</c:v>
                </c:pt>
                <c:pt idx="6">
                  <c:v>43</c:v>
                </c:pt>
                <c:pt idx="7">
                  <c:v>52</c:v>
                </c:pt>
                <c:pt idx="8">
                  <c:v>48</c:v>
                </c:pt>
                <c:pt idx="9">
                  <c:v>38</c:v>
                </c:pt>
                <c:pt idx="10">
                  <c:v>60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F-4945-B60C-FD4129E0D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7</xdr:row>
      <xdr:rowOff>0</xdr:rowOff>
    </xdr:from>
    <xdr:ext cx="72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opLeftCell="A10" workbookViewId="0">
      <selection sqref="A1:I1"/>
    </sheetView>
  </sheetViews>
  <sheetFormatPr defaultRowHeight="14.4" x14ac:dyDescent="0.3"/>
  <cols>
    <col min="1" max="1" width="22" customWidth="1"/>
    <col min="2" max="2" width="12" customWidth="1"/>
    <col min="3" max="3" width="13" customWidth="1"/>
    <col min="4" max="4" width="10" customWidth="1"/>
    <col min="5" max="5" width="12" customWidth="1"/>
    <col min="6" max="6" width="6" customWidth="1"/>
    <col min="7" max="8" width="10" customWidth="1"/>
    <col min="9" max="9" width="6" customWidth="1"/>
    <col min="10" max="12" width="10" customWidth="1"/>
  </cols>
  <sheetData>
    <row r="1" spans="1:12" ht="30" customHeight="1" x14ac:dyDescent="0.3">
      <c r="A1" s="19" t="s">
        <v>0</v>
      </c>
      <c r="B1" s="17"/>
      <c r="C1" s="17"/>
      <c r="D1" s="17"/>
      <c r="E1" s="17"/>
      <c r="F1" s="17"/>
      <c r="G1" s="17"/>
      <c r="H1" s="17"/>
      <c r="I1" s="17"/>
    </row>
    <row r="2" spans="1:12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4" spans="1:12" x14ac:dyDescent="0.3">
      <c r="A4" s="16" t="s">
        <v>2</v>
      </c>
      <c r="B4" s="17"/>
      <c r="C4" s="16" t="s">
        <v>3</v>
      </c>
      <c r="D4" s="17"/>
      <c r="E4" s="16" t="s">
        <v>4</v>
      </c>
      <c r="F4" s="17"/>
      <c r="G4" s="16" t="s">
        <v>5</v>
      </c>
      <c r="H4" s="17"/>
      <c r="I4" s="16" t="s">
        <v>6</v>
      </c>
      <c r="J4" s="17"/>
      <c r="K4" s="16" t="s">
        <v>7</v>
      </c>
      <c r="L4" s="17"/>
    </row>
    <row r="5" spans="1:12" x14ac:dyDescent="0.3">
      <c r="A5" s="20">
        <f>SUM('WFM Model'!C8:C55)</f>
        <v>194723</v>
      </c>
      <c r="B5" s="17"/>
      <c r="C5" s="20">
        <f>SUM('WFM Model'!G8:G55)</f>
        <v>655.4730951232516</v>
      </c>
      <c r="D5" s="17"/>
      <c r="E5" s="20">
        <f>SUM('WFM Model'!H8:H55)</f>
        <v>653</v>
      </c>
      <c r="F5" s="17"/>
      <c r="G5" s="20">
        <f>SUM('WFM Model'!I8:I55)</f>
        <v>-2.4730951232514826</v>
      </c>
      <c r="H5" s="17"/>
      <c r="I5" s="21">
        <f>AVERAGE('WFM Model'!E8:E55)</f>
        <v>0.31527083333333333</v>
      </c>
      <c r="J5" s="17"/>
      <c r="K5" s="20">
        <f>COUNTIF('WFM Model'!K8:K55,"Understaffed")</f>
        <v>15</v>
      </c>
      <c r="L5" s="17"/>
    </row>
    <row r="6" spans="1:12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8" spans="1:12" ht="30" customHeight="1" x14ac:dyDescent="0.3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</row>
    <row r="9" spans="1:12" x14ac:dyDescent="0.3">
      <c r="A9" s="2" t="s">
        <v>13</v>
      </c>
      <c r="B9" s="3">
        <f>SUMIF('WFM Model'!$A$8:$A$55,A9,'WFM Model'!$G$8:$G$55)</f>
        <v>35.711930621147751</v>
      </c>
      <c r="C9" s="3">
        <f>SUMIF('WFM Model'!$A$8:$A$55,A9,'WFM Model'!$H$8:$H$55)</f>
        <v>38</v>
      </c>
      <c r="D9" s="4">
        <f t="shared" ref="D9:D20" si="0">C9-B9</f>
        <v>2.2880693788522493</v>
      </c>
      <c r="E9" s="5">
        <f t="shared" ref="E9:E20" si="1">C9/B9</f>
        <v>1.0640701675617983</v>
      </c>
    </row>
    <row r="10" spans="1:12" x14ac:dyDescent="0.3">
      <c r="A10" s="6" t="s">
        <v>14</v>
      </c>
      <c r="B10" s="7">
        <f>SUMIF('WFM Model'!$A$8:$A$55,A10,'WFM Model'!$G$8:$G$55)</f>
        <v>31.997153698626047</v>
      </c>
      <c r="C10" s="7">
        <f>SUMIF('WFM Model'!$A$8:$A$55,A10,'WFM Model'!$H$8:$H$55)</f>
        <v>31</v>
      </c>
      <c r="D10" s="8">
        <f t="shared" si="0"/>
        <v>-0.99715369862604675</v>
      </c>
      <c r="E10" s="9">
        <f t="shared" si="1"/>
        <v>0.96883617499175045</v>
      </c>
    </row>
    <row r="11" spans="1:12" x14ac:dyDescent="0.3">
      <c r="A11" s="2" t="s">
        <v>15</v>
      </c>
      <c r="B11" s="3">
        <f>SUMIF('WFM Model'!$A$8:$A$55,A11,'WFM Model'!$G$8:$G$55)</f>
        <v>110.86137910195168</v>
      </c>
      <c r="C11" s="3">
        <f>SUMIF('WFM Model'!$A$8:$A$55,A11,'WFM Model'!$H$8:$H$55)</f>
        <v>115</v>
      </c>
      <c r="D11" s="4">
        <f t="shared" si="0"/>
        <v>4.1386208980483161</v>
      </c>
      <c r="E11" s="5">
        <f t="shared" si="1"/>
        <v>1.0373314939032312</v>
      </c>
    </row>
    <row r="12" spans="1:12" x14ac:dyDescent="0.3">
      <c r="A12" s="6" t="s">
        <v>16</v>
      </c>
      <c r="B12" s="7">
        <f>SUMIF('WFM Model'!$A$8:$A$55,A12,'WFM Model'!$G$8:$G$55)</f>
        <v>46.550524716248852</v>
      </c>
      <c r="C12" s="7">
        <f>SUMIF('WFM Model'!$A$8:$A$55,A12,'WFM Model'!$H$8:$H$55)</f>
        <v>46</v>
      </c>
      <c r="D12" s="8">
        <f t="shared" si="0"/>
        <v>-0.55052471624885158</v>
      </c>
      <c r="E12" s="9">
        <f t="shared" si="1"/>
        <v>0.98817360879163874</v>
      </c>
    </row>
    <row r="13" spans="1:12" x14ac:dyDescent="0.3">
      <c r="A13" s="2" t="s">
        <v>17</v>
      </c>
      <c r="B13" s="3">
        <f>SUMIF('WFM Model'!$A$8:$A$55,A13,'WFM Model'!$G$8:$G$55)</f>
        <v>44.876913433641448</v>
      </c>
      <c r="C13" s="3">
        <f>SUMIF('WFM Model'!$A$8:$A$55,A13,'WFM Model'!$H$8:$H$55)</f>
        <v>45</v>
      </c>
      <c r="D13" s="4">
        <f t="shared" si="0"/>
        <v>0.12308656635855186</v>
      </c>
      <c r="E13" s="5">
        <f t="shared" si="1"/>
        <v>1.0027427591815234</v>
      </c>
    </row>
    <row r="14" spans="1:12" x14ac:dyDescent="0.3">
      <c r="A14" s="6" t="s">
        <v>18</v>
      </c>
      <c r="B14" s="7">
        <f>SUMIF('WFM Model'!$A$8:$A$55,A14,'WFM Model'!$G$8:$G$55)</f>
        <v>58.038536803523236</v>
      </c>
      <c r="C14" s="7">
        <f>SUMIF('WFM Model'!$A$8:$A$55,A14,'WFM Model'!$H$8:$H$55)</f>
        <v>57</v>
      </c>
      <c r="D14" s="8">
        <f t="shared" si="0"/>
        <v>-1.0385368035232361</v>
      </c>
      <c r="E14" s="9">
        <f t="shared" si="1"/>
        <v>0.98210608225636398</v>
      </c>
    </row>
    <row r="15" spans="1:12" x14ac:dyDescent="0.3">
      <c r="A15" s="2" t="s">
        <v>19</v>
      </c>
      <c r="B15" s="3">
        <f>SUMIF('WFM Model'!$A$8:$A$55,A15,'WFM Model'!$G$8:$G$55)</f>
        <v>42.655961520091836</v>
      </c>
      <c r="C15" s="3">
        <f>SUMIF('WFM Model'!$A$8:$A$55,A15,'WFM Model'!$H$8:$H$55)</f>
        <v>43</v>
      </c>
      <c r="D15" s="4">
        <f t="shared" si="0"/>
        <v>0.34403847990816416</v>
      </c>
      <c r="E15" s="5">
        <f t="shared" si="1"/>
        <v>1.0080654255032118</v>
      </c>
    </row>
    <row r="16" spans="1:12" x14ac:dyDescent="0.3">
      <c r="A16" s="6" t="s">
        <v>20</v>
      </c>
      <c r="B16" s="7">
        <f>SUMIF('WFM Model'!$A$8:$A$55,A16,'WFM Model'!$G$8:$G$55)</f>
        <v>52.721568565032953</v>
      </c>
      <c r="C16" s="7">
        <f>SUMIF('WFM Model'!$A$8:$A$55,A16,'WFM Model'!$H$8:$H$55)</f>
        <v>52</v>
      </c>
      <c r="D16" s="8">
        <f t="shared" si="0"/>
        <v>-0.7215685650329533</v>
      </c>
      <c r="E16" s="9">
        <f t="shared" si="1"/>
        <v>0.98631359831142185</v>
      </c>
    </row>
    <row r="17" spans="1:5" x14ac:dyDescent="0.3">
      <c r="A17" s="2" t="s">
        <v>21</v>
      </c>
      <c r="B17" s="3">
        <f>SUMIF('WFM Model'!$A$8:$A$55,A17,'WFM Model'!$G$8:$G$55)</f>
        <v>49.761671819077442</v>
      </c>
      <c r="C17" s="3">
        <f>SUMIF('WFM Model'!$A$8:$A$55,A17,'WFM Model'!$H$8:$H$55)</f>
        <v>48</v>
      </c>
      <c r="D17" s="4">
        <f t="shared" si="0"/>
        <v>-1.7616718190774421</v>
      </c>
      <c r="E17" s="5">
        <f t="shared" si="1"/>
        <v>0.96459781686028367</v>
      </c>
    </row>
    <row r="18" spans="1:5" x14ac:dyDescent="0.3">
      <c r="A18" s="6" t="s">
        <v>22</v>
      </c>
      <c r="B18" s="7">
        <f>SUMIF('WFM Model'!$A$8:$A$55,A18,'WFM Model'!$G$8:$G$55)</f>
        <v>39.735581099455047</v>
      </c>
      <c r="C18" s="7">
        <f>SUMIF('WFM Model'!$A$8:$A$55,A18,'WFM Model'!$H$8:$H$55)</f>
        <v>38</v>
      </c>
      <c r="D18" s="8">
        <f t="shared" si="0"/>
        <v>-1.7355810994550467</v>
      </c>
      <c r="E18" s="9">
        <f t="shared" si="1"/>
        <v>0.956321738566978</v>
      </c>
    </row>
    <row r="19" spans="1:5" x14ac:dyDescent="0.3">
      <c r="A19" s="2" t="s">
        <v>23</v>
      </c>
      <c r="B19" s="3">
        <f>SUMIF('WFM Model'!$A$8:$A$55,A19,'WFM Model'!$G$8:$G$55)</f>
        <v>64.400021845603419</v>
      </c>
      <c r="C19" s="3">
        <f>SUMIF('WFM Model'!$A$8:$A$55,A19,'WFM Model'!$H$8:$H$55)</f>
        <v>60</v>
      </c>
      <c r="D19" s="4">
        <f t="shared" si="0"/>
        <v>-4.400021845603419</v>
      </c>
      <c r="E19" s="5">
        <f t="shared" si="1"/>
        <v>0.93167670259255031</v>
      </c>
    </row>
    <row r="20" spans="1:5" x14ac:dyDescent="0.3">
      <c r="A20" s="6" t="s">
        <v>24</v>
      </c>
      <c r="B20" s="7">
        <f>SUMIF('WFM Model'!$A$8:$A$55,A20,'WFM Model'!$G$8:$G$55)</f>
        <v>78.161851898851751</v>
      </c>
      <c r="C20" s="7">
        <f>SUMIF('WFM Model'!$A$8:$A$55,A20,'WFM Model'!$H$8:$H$55)</f>
        <v>80</v>
      </c>
      <c r="D20" s="8">
        <f t="shared" si="0"/>
        <v>1.8381481011482492</v>
      </c>
      <c r="E20" s="9">
        <f t="shared" si="1"/>
        <v>1.023517202529016</v>
      </c>
    </row>
  </sheetData>
  <mergeCells count="14">
    <mergeCell ref="K5:L6"/>
    <mergeCell ref="I5:J6"/>
    <mergeCell ref="K4:L4"/>
    <mergeCell ref="C4:D4"/>
    <mergeCell ref="A1:I1"/>
    <mergeCell ref="C5:D6"/>
    <mergeCell ref="A5:B6"/>
    <mergeCell ref="G5:H6"/>
    <mergeCell ref="E5:F6"/>
    <mergeCell ref="A4:B4"/>
    <mergeCell ref="G4:H4"/>
    <mergeCell ref="E4:F4"/>
    <mergeCell ref="I4:J4"/>
    <mergeCell ref="A2:I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F8" sqref="F8"/>
    </sheetView>
  </sheetViews>
  <sheetFormatPr defaultRowHeight="14.4" x14ac:dyDescent="0.3"/>
  <cols>
    <col min="1" max="1" width="22" customWidth="1"/>
    <col min="2" max="2" width="8" customWidth="1"/>
    <col min="3" max="3" width="15" customWidth="1"/>
    <col min="4" max="4" width="10" customWidth="1"/>
    <col min="5" max="5" width="11" customWidth="1"/>
    <col min="6" max="6" width="14" customWidth="1"/>
    <col min="7" max="8" width="12" customWidth="1"/>
    <col min="9" max="9" width="10" customWidth="1"/>
    <col min="10" max="10" width="11" customWidth="1"/>
    <col min="11" max="11" width="13" customWidth="1"/>
  </cols>
  <sheetData>
    <row r="1" spans="1:12" ht="30" customHeight="1" x14ac:dyDescent="0.3">
      <c r="A1" s="19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">
      <c r="A2" s="18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x14ac:dyDescent="0.3">
      <c r="A4" s="22" t="s">
        <v>27</v>
      </c>
      <c r="B4" s="17"/>
      <c r="C4" s="17"/>
      <c r="D4" s="10">
        <v>40</v>
      </c>
    </row>
    <row r="5" spans="1:12" x14ac:dyDescent="0.3">
      <c r="A5" s="22" t="s">
        <v>28</v>
      </c>
      <c r="B5" s="17"/>
      <c r="C5" s="17"/>
      <c r="D5" s="11">
        <v>0.85</v>
      </c>
    </row>
    <row r="7" spans="1:12" ht="30" customHeight="1" x14ac:dyDescent="0.3">
      <c r="A7" s="1" t="s">
        <v>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9</v>
      </c>
      <c r="H7" s="1" t="s">
        <v>10</v>
      </c>
      <c r="I7" s="1" t="s">
        <v>11</v>
      </c>
      <c r="J7" s="1" t="s">
        <v>34</v>
      </c>
      <c r="K7" s="1" t="s">
        <v>35</v>
      </c>
    </row>
    <row r="8" spans="1:12" x14ac:dyDescent="0.3">
      <c r="A8" s="6" t="s">
        <v>13</v>
      </c>
      <c r="B8" s="12" t="s">
        <v>36</v>
      </c>
      <c r="C8" s="13">
        <v>2650</v>
      </c>
      <c r="D8" s="12">
        <v>259</v>
      </c>
      <c r="E8" s="9">
        <v>0.253</v>
      </c>
      <c r="F8" s="13">
        <f t="shared" ref="F8:F55" si="0">C8*D8/3600</f>
        <v>190.65277777777777</v>
      </c>
      <c r="G8" s="7">
        <f t="shared" ref="G8:G55" si="1">F8/($D$4*(1-E8)*$D$5)</f>
        <v>7.5066059444750675</v>
      </c>
      <c r="H8" s="12">
        <f>ROUND(G8*1.007,0)</f>
        <v>8</v>
      </c>
      <c r="I8" s="8">
        <f t="shared" ref="I8:I55" si="2">H8-G8</f>
        <v>0.49339405552493254</v>
      </c>
      <c r="J8" s="9">
        <f t="shared" ref="J8:J55" si="3">H8/G8</f>
        <v>1.0657279813506229</v>
      </c>
      <c r="K8" s="12" t="str">
        <f t="shared" ref="K8:K55" si="4">IF(J8&lt;0.95,"Understaffed",IF(J8&gt;1.15,"Overstaffed","Balanced"))</f>
        <v>Balanced</v>
      </c>
    </row>
    <row r="9" spans="1:12" x14ac:dyDescent="0.3">
      <c r="A9" s="2" t="s">
        <v>13</v>
      </c>
      <c r="B9" s="14" t="s">
        <v>37</v>
      </c>
      <c r="C9" s="15">
        <v>3435</v>
      </c>
      <c r="D9" s="14">
        <v>276</v>
      </c>
      <c r="E9" s="5">
        <v>0.31900000000000001</v>
      </c>
      <c r="F9" s="15">
        <f t="shared" si="0"/>
        <v>263.35000000000002</v>
      </c>
      <c r="G9" s="3">
        <f t="shared" si="1"/>
        <v>11.373844692061848</v>
      </c>
      <c r="H9" s="14">
        <f>ROUND(G9*1.116,0)</f>
        <v>13</v>
      </c>
      <c r="I9" s="4">
        <f t="shared" si="2"/>
        <v>1.6261553079381521</v>
      </c>
      <c r="J9" s="5">
        <f t="shared" si="3"/>
        <v>1.142973229542434</v>
      </c>
      <c r="K9" s="14" t="str">
        <f t="shared" si="4"/>
        <v>Balanced</v>
      </c>
    </row>
    <row r="10" spans="1:12" x14ac:dyDescent="0.3">
      <c r="A10" s="6" t="s">
        <v>13</v>
      </c>
      <c r="B10" s="12" t="s">
        <v>38</v>
      </c>
      <c r="C10" s="13">
        <v>2481</v>
      </c>
      <c r="D10" s="12">
        <v>314</v>
      </c>
      <c r="E10" s="9">
        <v>0.30599999999999999</v>
      </c>
      <c r="F10" s="13">
        <f t="shared" si="0"/>
        <v>216.39833333333334</v>
      </c>
      <c r="G10" s="7">
        <f t="shared" si="1"/>
        <v>9.1709753065491348</v>
      </c>
      <c r="H10" s="12">
        <f>ROUND(G10*1.012,0)</f>
        <v>9</v>
      </c>
      <c r="I10" s="8">
        <f t="shared" si="2"/>
        <v>-0.17097530654913484</v>
      </c>
      <c r="J10" s="9">
        <f t="shared" si="3"/>
        <v>0.98135691125162683</v>
      </c>
      <c r="K10" s="12" t="str">
        <f t="shared" si="4"/>
        <v>Balanced</v>
      </c>
    </row>
    <row r="11" spans="1:12" x14ac:dyDescent="0.3">
      <c r="A11" s="2" t="s">
        <v>13</v>
      </c>
      <c r="B11" s="14" t="s">
        <v>39</v>
      </c>
      <c r="C11" s="15">
        <v>2339</v>
      </c>
      <c r="D11" s="14">
        <v>275</v>
      </c>
      <c r="E11" s="5">
        <v>0.314</v>
      </c>
      <c r="F11" s="15">
        <f t="shared" si="0"/>
        <v>178.67361111111111</v>
      </c>
      <c r="G11" s="3">
        <f t="shared" si="1"/>
        <v>7.6605046780617014</v>
      </c>
      <c r="H11" s="14">
        <f>ROUND(G11*1.061,0)</f>
        <v>8</v>
      </c>
      <c r="I11" s="4">
        <f t="shared" si="2"/>
        <v>0.33949532193829857</v>
      </c>
      <c r="J11" s="5">
        <f t="shared" si="3"/>
        <v>1.0443176182517782</v>
      </c>
      <c r="K11" s="14" t="str">
        <f t="shared" si="4"/>
        <v>Balanced</v>
      </c>
    </row>
    <row r="12" spans="1:12" x14ac:dyDescent="0.3">
      <c r="A12" s="6" t="s">
        <v>14</v>
      </c>
      <c r="B12" s="12" t="s">
        <v>36</v>
      </c>
      <c r="C12" s="13">
        <v>3379</v>
      </c>
      <c r="D12" s="12">
        <v>241</v>
      </c>
      <c r="E12" s="9">
        <v>0.33700000000000002</v>
      </c>
      <c r="F12" s="13">
        <f t="shared" si="0"/>
        <v>226.20527777777778</v>
      </c>
      <c r="G12" s="7">
        <f t="shared" si="1"/>
        <v>10.034836206981534</v>
      </c>
      <c r="H12" s="12">
        <f>ROUND(G12*0.896,0)</f>
        <v>9</v>
      </c>
      <c r="I12" s="8">
        <f t="shared" si="2"/>
        <v>-1.0348362069815344</v>
      </c>
      <c r="J12" s="9">
        <f t="shared" si="3"/>
        <v>0.89687562550731337</v>
      </c>
      <c r="K12" s="12" t="str">
        <f t="shared" si="4"/>
        <v>Understaffed</v>
      </c>
    </row>
    <row r="13" spans="1:12" x14ac:dyDescent="0.3">
      <c r="A13" s="2" t="s">
        <v>14</v>
      </c>
      <c r="B13" s="14" t="s">
        <v>37</v>
      </c>
      <c r="C13" s="15">
        <v>2756</v>
      </c>
      <c r="D13" s="14">
        <v>211</v>
      </c>
      <c r="E13" s="5">
        <v>0.35499999999999998</v>
      </c>
      <c r="F13" s="15">
        <f t="shared" si="0"/>
        <v>161.53222222222223</v>
      </c>
      <c r="G13" s="3">
        <f t="shared" si="1"/>
        <v>7.3658104068500787</v>
      </c>
      <c r="H13" s="14">
        <f>ROUND(G13*1.035,0)</f>
        <v>8</v>
      </c>
      <c r="I13" s="4">
        <f t="shared" si="2"/>
        <v>0.63418959314992129</v>
      </c>
      <c r="J13" s="5">
        <f t="shared" si="3"/>
        <v>1.0860990927162795</v>
      </c>
      <c r="K13" s="14" t="str">
        <f t="shared" si="4"/>
        <v>Balanced</v>
      </c>
    </row>
    <row r="14" spans="1:12" x14ac:dyDescent="0.3">
      <c r="A14" s="6" t="s">
        <v>14</v>
      </c>
      <c r="B14" s="12" t="s">
        <v>38</v>
      </c>
      <c r="C14" s="13">
        <v>2736</v>
      </c>
      <c r="D14" s="12">
        <v>219</v>
      </c>
      <c r="E14" s="9">
        <v>0.27200000000000002</v>
      </c>
      <c r="F14" s="13">
        <f t="shared" si="0"/>
        <v>166.44</v>
      </c>
      <c r="G14" s="7">
        <f t="shared" si="1"/>
        <v>6.7243051066580479</v>
      </c>
      <c r="H14" s="12">
        <f>ROUND(G14*0.948,0)</f>
        <v>6</v>
      </c>
      <c r="I14" s="8">
        <f t="shared" si="2"/>
        <v>-0.72430510665804793</v>
      </c>
      <c r="J14" s="9">
        <f t="shared" si="3"/>
        <v>0.89228550829127617</v>
      </c>
      <c r="K14" s="12" t="str">
        <f t="shared" si="4"/>
        <v>Understaffed</v>
      </c>
    </row>
    <row r="15" spans="1:12" x14ac:dyDescent="0.3">
      <c r="A15" s="2" t="s">
        <v>14</v>
      </c>
      <c r="B15" s="14" t="s">
        <v>39</v>
      </c>
      <c r="C15" s="15">
        <v>2484</v>
      </c>
      <c r="D15" s="14">
        <v>263</v>
      </c>
      <c r="E15" s="5">
        <v>0.32200000000000001</v>
      </c>
      <c r="F15" s="15">
        <f t="shared" si="0"/>
        <v>181.47</v>
      </c>
      <c r="G15" s="3">
        <f t="shared" si="1"/>
        <v>7.8722019781363883</v>
      </c>
      <c r="H15" s="14">
        <f>ROUND(G15*1.067,0)</f>
        <v>8</v>
      </c>
      <c r="I15" s="4">
        <f t="shared" si="2"/>
        <v>0.12779802186361167</v>
      </c>
      <c r="J15" s="5">
        <f t="shared" si="3"/>
        <v>1.0162340882790541</v>
      </c>
      <c r="K15" s="14" t="str">
        <f t="shared" si="4"/>
        <v>Balanced</v>
      </c>
    </row>
    <row r="16" spans="1:12" x14ac:dyDescent="0.3">
      <c r="A16" s="6" t="s">
        <v>15</v>
      </c>
      <c r="B16" s="12" t="s">
        <v>36</v>
      </c>
      <c r="C16" s="13">
        <v>8158</v>
      </c>
      <c r="D16" s="12">
        <v>344</v>
      </c>
      <c r="E16" s="9">
        <v>0.33100000000000002</v>
      </c>
      <c r="F16" s="13">
        <f t="shared" si="0"/>
        <v>779.54222222222222</v>
      </c>
      <c r="G16" s="7">
        <f t="shared" si="1"/>
        <v>34.271617964574965</v>
      </c>
      <c r="H16" s="12">
        <f>ROUND(G16*0.925,0)</f>
        <v>32</v>
      </c>
      <c r="I16" s="8">
        <f t="shared" si="2"/>
        <v>-2.2716179645749648</v>
      </c>
      <c r="J16" s="9">
        <f t="shared" si="3"/>
        <v>0.93371722435389437</v>
      </c>
      <c r="K16" s="12" t="str">
        <f t="shared" si="4"/>
        <v>Understaffed</v>
      </c>
    </row>
    <row r="17" spans="1:11" x14ac:dyDescent="0.3">
      <c r="A17" s="2" t="s">
        <v>15</v>
      </c>
      <c r="B17" s="14" t="s">
        <v>37</v>
      </c>
      <c r="C17" s="15">
        <v>8159</v>
      </c>
      <c r="D17" s="14">
        <v>215</v>
      </c>
      <c r="E17" s="5">
        <v>0.36399999999999999</v>
      </c>
      <c r="F17" s="15">
        <f t="shared" si="0"/>
        <v>487.27361111111111</v>
      </c>
      <c r="G17" s="3">
        <f t="shared" si="1"/>
        <v>22.533925782052865</v>
      </c>
      <c r="H17" s="14">
        <f>ROUND(G17*1.088,0)</f>
        <v>25</v>
      </c>
      <c r="I17" s="4">
        <f t="shared" si="2"/>
        <v>2.4660742179471349</v>
      </c>
      <c r="J17" s="5">
        <f t="shared" si="3"/>
        <v>1.1094382861556791</v>
      </c>
      <c r="K17" s="14" t="str">
        <f t="shared" si="4"/>
        <v>Balanced</v>
      </c>
    </row>
    <row r="18" spans="1:11" x14ac:dyDescent="0.3">
      <c r="A18" s="6" t="s">
        <v>15</v>
      </c>
      <c r="B18" s="12" t="s">
        <v>38</v>
      </c>
      <c r="C18" s="13">
        <v>8212</v>
      </c>
      <c r="D18" s="12">
        <v>242</v>
      </c>
      <c r="E18" s="9">
        <v>0.35</v>
      </c>
      <c r="F18" s="13">
        <f t="shared" si="0"/>
        <v>552.0288888888889</v>
      </c>
      <c r="G18" s="7">
        <f t="shared" si="1"/>
        <v>24.978682755153347</v>
      </c>
      <c r="H18" s="12">
        <f>ROUND(G18*1.049,0)</f>
        <v>26</v>
      </c>
      <c r="I18" s="8">
        <f t="shared" si="2"/>
        <v>1.021317244846653</v>
      </c>
      <c r="J18" s="9">
        <f t="shared" si="3"/>
        <v>1.0408875541940235</v>
      </c>
      <c r="K18" s="12" t="str">
        <f t="shared" si="4"/>
        <v>Balanced</v>
      </c>
    </row>
    <row r="19" spans="1:11" x14ac:dyDescent="0.3">
      <c r="A19" s="2" t="s">
        <v>15</v>
      </c>
      <c r="B19" s="14" t="s">
        <v>39</v>
      </c>
      <c r="C19" s="15">
        <v>7796</v>
      </c>
      <c r="D19" s="14">
        <v>336</v>
      </c>
      <c r="E19" s="5">
        <v>0.26400000000000001</v>
      </c>
      <c r="F19" s="15">
        <f t="shared" si="0"/>
        <v>727.62666666666667</v>
      </c>
      <c r="G19" s="3">
        <f t="shared" si="1"/>
        <v>29.077152600170507</v>
      </c>
      <c r="H19" s="14">
        <f>ROUND(G19*1.114,0)</f>
        <v>32</v>
      </c>
      <c r="I19" s="4">
        <f t="shared" si="2"/>
        <v>2.922847399829493</v>
      </c>
      <c r="J19" s="5">
        <f t="shared" si="3"/>
        <v>1.1005204133988125</v>
      </c>
      <c r="K19" s="14" t="str">
        <f t="shared" si="4"/>
        <v>Balanced</v>
      </c>
    </row>
    <row r="20" spans="1:11" x14ac:dyDescent="0.3">
      <c r="A20" s="6" t="s">
        <v>16</v>
      </c>
      <c r="B20" s="12" t="s">
        <v>36</v>
      </c>
      <c r="C20" s="13">
        <v>3301</v>
      </c>
      <c r="D20" s="12">
        <v>254</v>
      </c>
      <c r="E20" s="9">
        <v>0.308</v>
      </c>
      <c r="F20" s="13">
        <f t="shared" si="0"/>
        <v>232.9038888888889</v>
      </c>
      <c r="G20" s="7">
        <f t="shared" si="1"/>
        <v>9.8990092183308782</v>
      </c>
      <c r="H20" s="12">
        <f>ROUND(G20*0.907,0)</f>
        <v>9</v>
      </c>
      <c r="I20" s="8">
        <f t="shared" si="2"/>
        <v>-0.89900921833087821</v>
      </c>
      <c r="J20" s="9">
        <f t="shared" si="3"/>
        <v>0.9091818990666154</v>
      </c>
      <c r="K20" s="12" t="str">
        <f t="shared" si="4"/>
        <v>Understaffed</v>
      </c>
    </row>
    <row r="21" spans="1:11" x14ac:dyDescent="0.3">
      <c r="A21" s="2" t="s">
        <v>16</v>
      </c>
      <c r="B21" s="14" t="s">
        <v>37</v>
      </c>
      <c r="C21" s="15">
        <v>3818</v>
      </c>
      <c r="D21" s="14">
        <v>219</v>
      </c>
      <c r="E21" s="5">
        <v>0.28499999999999998</v>
      </c>
      <c r="F21" s="15">
        <f t="shared" si="0"/>
        <v>232.26166666666666</v>
      </c>
      <c r="G21" s="3">
        <f t="shared" si="1"/>
        <v>9.5541615247497589</v>
      </c>
      <c r="H21" s="14">
        <f>ROUND(G21*1.01,0)</f>
        <v>10</v>
      </c>
      <c r="I21" s="4">
        <f t="shared" si="2"/>
        <v>0.44583847525024112</v>
      </c>
      <c r="J21" s="5">
        <f t="shared" si="3"/>
        <v>1.0466643225672196</v>
      </c>
      <c r="K21" s="14" t="str">
        <f t="shared" si="4"/>
        <v>Balanced</v>
      </c>
    </row>
    <row r="22" spans="1:11" x14ac:dyDescent="0.3">
      <c r="A22" s="6" t="s">
        <v>16</v>
      </c>
      <c r="B22" s="12" t="s">
        <v>38</v>
      </c>
      <c r="C22" s="13">
        <v>3533</v>
      </c>
      <c r="D22" s="12">
        <v>252</v>
      </c>
      <c r="E22" s="9">
        <v>0.375</v>
      </c>
      <c r="F22" s="13">
        <f t="shared" si="0"/>
        <v>247.31</v>
      </c>
      <c r="G22" s="7">
        <f t="shared" si="1"/>
        <v>11.638117647058824</v>
      </c>
      <c r="H22" s="12">
        <f>ROUND(G22*1.023,0)</f>
        <v>12</v>
      </c>
      <c r="I22" s="8">
        <f t="shared" si="2"/>
        <v>0.36188235294117632</v>
      </c>
      <c r="J22" s="9">
        <f t="shared" si="3"/>
        <v>1.031094577655574</v>
      </c>
      <c r="K22" s="12" t="str">
        <f t="shared" si="4"/>
        <v>Balanced</v>
      </c>
    </row>
    <row r="23" spans="1:11" x14ac:dyDescent="0.3">
      <c r="A23" s="2" t="s">
        <v>16</v>
      </c>
      <c r="B23" s="14" t="s">
        <v>39</v>
      </c>
      <c r="C23" s="15">
        <v>4494</v>
      </c>
      <c r="D23" s="14">
        <v>320</v>
      </c>
      <c r="E23" s="5">
        <v>0.24</v>
      </c>
      <c r="F23" s="15">
        <f t="shared" si="0"/>
        <v>399.46666666666664</v>
      </c>
      <c r="G23" s="3">
        <f t="shared" si="1"/>
        <v>15.459236326109391</v>
      </c>
      <c r="H23" s="14">
        <f>ROUND(G23*0.944,0)</f>
        <v>15</v>
      </c>
      <c r="I23" s="4">
        <f t="shared" si="2"/>
        <v>-0.4592363261093908</v>
      </c>
      <c r="J23" s="5">
        <f t="shared" si="3"/>
        <v>0.97029372496662214</v>
      </c>
      <c r="K23" s="14" t="str">
        <f t="shared" si="4"/>
        <v>Balanced</v>
      </c>
    </row>
    <row r="24" spans="1:11" x14ac:dyDescent="0.3">
      <c r="A24" s="6" t="s">
        <v>17</v>
      </c>
      <c r="B24" s="12" t="s">
        <v>36</v>
      </c>
      <c r="C24" s="13">
        <v>3797</v>
      </c>
      <c r="D24" s="12">
        <v>259</v>
      </c>
      <c r="E24" s="9">
        <v>0.33100000000000002</v>
      </c>
      <c r="F24" s="13">
        <f t="shared" si="0"/>
        <v>273.17305555555555</v>
      </c>
      <c r="G24" s="7">
        <f t="shared" si="1"/>
        <v>12.009718436452806</v>
      </c>
      <c r="H24" s="12">
        <f>ROUND(G24*0.867,0)</f>
        <v>10</v>
      </c>
      <c r="I24" s="8">
        <f t="shared" si="2"/>
        <v>-2.0097184364528058</v>
      </c>
      <c r="J24" s="9">
        <f t="shared" si="3"/>
        <v>0.83265898804481908</v>
      </c>
      <c r="K24" s="12" t="str">
        <f t="shared" si="4"/>
        <v>Understaffed</v>
      </c>
    </row>
    <row r="25" spans="1:11" x14ac:dyDescent="0.3">
      <c r="A25" s="2" t="s">
        <v>17</v>
      </c>
      <c r="B25" s="14" t="s">
        <v>37</v>
      </c>
      <c r="C25" s="15">
        <v>4335</v>
      </c>
      <c r="D25" s="14">
        <v>211</v>
      </c>
      <c r="E25" s="5">
        <v>0.27600000000000002</v>
      </c>
      <c r="F25" s="15">
        <f t="shared" si="0"/>
        <v>254.07916666666668</v>
      </c>
      <c r="G25" s="3">
        <f t="shared" si="1"/>
        <v>10.321708103130756</v>
      </c>
      <c r="H25" s="14">
        <f>ROUND(G25*1.046,0)</f>
        <v>11</v>
      </c>
      <c r="I25" s="4">
        <f t="shared" si="2"/>
        <v>0.67829189686924352</v>
      </c>
      <c r="J25" s="5">
        <f t="shared" si="3"/>
        <v>1.0657150822414272</v>
      </c>
      <c r="K25" s="14" t="str">
        <f t="shared" si="4"/>
        <v>Balanced</v>
      </c>
    </row>
    <row r="26" spans="1:11" x14ac:dyDescent="0.3">
      <c r="A26" s="6" t="s">
        <v>17</v>
      </c>
      <c r="B26" s="12" t="s">
        <v>38</v>
      </c>
      <c r="C26" s="13">
        <v>3412</v>
      </c>
      <c r="D26" s="12">
        <v>274</v>
      </c>
      <c r="E26" s="9">
        <v>0.26700000000000002</v>
      </c>
      <c r="F26" s="13">
        <f t="shared" si="0"/>
        <v>259.69111111111113</v>
      </c>
      <c r="G26" s="7">
        <f t="shared" si="1"/>
        <v>10.420155329071147</v>
      </c>
      <c r="H26" s="12">
        <f>ROUND(G26*1.039,0)</f>
        <v>11</v>
      </c>
      <c r="I26" s="8">
        <f t="shared" si="2"/>
        <v>0.57984467092885339</v>
      </c>
      <c r="J26" s="9">
        <f t="shared" si="3"/>
        <v>1.0556464517674844</v>
      </c>
      <c r="K26" s="12" t="str">
        <f t="shared" si="4"/>
        <v>Balanced</v>
      </c>
    </row>
    <row r="27" spans="1:11" x14ac:dyDescent="0.3">
      <c r="A27" s="2" t="s">
        <v>17</v>
      </c>
      <c r="B27" s="14" t="s">
        <v>39</v>
      </c>
      <c r="C27" s="15">
        <v>3657</v>
      </c>
      <c r="D27" s="14">
        <v>306</v>
      </c>
      <c r="E27" s="5">
        <v>0.246</v>
      </c>
      <c r="F27" s="15">
        <f t="shared" si="0"/>
        <v>310.84500000000003</v>
      </c>
      <c r="G27" s="3">
        <f t="shared" si="1"/>
        <v>12.125331564986739</v>
      </c>
      <c r="H27" s="14">
        <f>ROUND(G27*1.109,0)</f>
        <v>13</v>
      </c>
      <c r="I27" s="4">
        <f t="shared" si="2"/>
        <v>0.87466843501326075</v>
      </c>
      <c r="J27" s="5">
        <f t="shared" si="3"/>
        <v>1.0721356302980583</v>
      </c>
      <c r="K27" s="14" t="str">
        <f t="shared" si="4"/>
        <v>Balanced</v>
      </c>
    </row>
    <row r="28" spans="1:11" x14ac:dyDescent="0.3">
      <c r="A28" s="6" t="s">
        <v>18</v>
      </c>
      <c r="B28" s="12" t="s">
        <v>36</v>
      </c>
      <c r="C28" s="13">
        <v>4344</v>
      </c>
      <c r="D28" s="12">
        <v>257</v>
      </c>
      <c r="E28" s="9">
        <v>0.33100000000000002</v>
      </c>
      <c r="F28" s="13">
        <f t="shared" si="0"/>
        <v>310.11333333333334</v>
      </c>
      <c r="G28" s="7">
        <f t="shared" si="1"/>
        <v>13.633752454644039</v>
      </c>
      <c r="H28" s="12">
        <f>ROUND(G28*0.877,0)</f>
        <v>12</v>
      </c>
      <c r="I28" s="8">
        <f t="shared" si="2"/>
        <v>-1.6337524546440392</v>
      </c>
      <c r="J28" s="9">
        <f t="shared" si="3"/>
        <v>0.88016854053356841</v>
      </c>
      <c r="K28" s="12" t="str">
        <f t="shared" si="4"/>
        <v>Understaffed</v>
      </c>
    </row>
    <row r="29" spans="1:11" x14ac:dyDescent="0.3">
      <c r="A29" s="2" t="s">
        <v>18</v>
      </c>
      <c r="B29" s="14" t="s">
        <v>37</v>
      </c>
      <c r="C29" s="15">
        <v>4155</v>
      </c>
      <c r="D29" s="14">
        <v>315</v>
      </c>
      <c r="E29" s="5">
        <v>0.26100000000000001</v>
      </c>
      <c r="F29" s="15">
        <f t="shared" si="0"/>
        <v>363.5625</v>
      </c>
      <c r="G29" s="3">
        <f t="shared" si="1"/>
        <v>14.469573350314416</v>
      </c>
      <c r="H29" s="14">
        <f>ROUND(G29*0.994,0)</f>
        <v>14</v>
      </c>
      <c r="I29" s="4">
        <f t="shared" si="2"/>
        <v>-0.46957335031441616</v>
      </c>
      <c r="J29" s="5">
        <f t="shared" si="3"/>
        <v>0.9675475330926594</v>
      </c>
      <c r="K29" s="14" t="str">
        <f t="shared" si="4"/>
        <v>Balanced</v>
      </c>
    </row>
    <row r="30" spans="1:11" x14ac:dyDescent="0.3">
      <c r="A30" s="6" t="s">
        <v>18</v>
      </c>
      <c r="B30" s="12" t="s">
        <v>38</v>
      </c>
      <c r="C30" s="13">
        <v>4534</v>
      </c>
      <c r="D30" s="12">
        <v>299</v>
      </c>
      <c r="E30" s="9">
        <v>0.31</v>
      </c>
      <c r="F30" s="13">
        <f t="shared" si="0"/>
        <v>376.57388888888892</v>
      </c>
      <c r="G30" s="7">
        <f t="shared" si="1"/>
        <v>16.05174291938998</v>
      </c>
      <c r="H30" s="12">
        <f>ROUND(G30*1.086,0)</f>
        <v>17</v>
      </c>
      <c r="I30" s="8">
        <f t="shared" si="2"/>
        <v>0.9482570806100199</v>
      </c>
      <c r="J30" s="9">
        <f t="shared" si="3"/>
        <v>1.0590750229038715</v>
      </c>
      <c r="K30" s="12" t="str">
        <f t="shared" si="4"/>
        <v>Balanced</v>
      </c>
    </row>
    <row r="31" spans="1:11" x14ac:dyDescent="0.3">
      <c r="A31" s="2" t="s">
        <v>18</v>
      </c>
      <c r="B31" s="14" t="s">
        <v>39</v>
      </c>
      <c r="C31" s="15">
        <v>3240</v>
      </c>
      <c r="D31" s="14">
        <v>332</v>
      </c>
      <c r="E31" s="5">
        <v>0.36699999999999999</v>
      </c>
      <c r="F31" s="15">
        <f t="shared" si="0"/>
        <v>298.8</v>
      </c>
      <c r="G31" s="3">
        <f t="shared" si="1"/>
        <v>13.883468079174799</v>
      </c>
      <c r="H31" s="14">
        <f>ROUND(G31*0.982,0)</f>
        <v>14</v>
      </c>
      <c r="I31" s="4">
        <f t="shared" si="2"/>
        <v>0.11653192082520114</v>
      </c>
      <c r="J31" s="5">
        <f t="shared" si="3"/>
        <v>1.0083935742971888</v>
      </c>
      <c r="K31" s="14" t="str">
        <f t="shared" si="4"/>
        <v>Balanced</v>
      </c>
    </row>
    <row r="32" spans="1:11" x14ac:dyDescent="0.3">
      <c r="A32" s="6" t="s">
        <v>19</v>
      </c>
      <c r="B32" s="12" t="s">
        <v>36</v>
      </c>
      <c r="C32" s="13">
        <v>3191</v>
      </c>
      <c r="D32" s="12">
        <v>285</v>
      </c>
      <c r="E32" s="9">
        <v>0.36299999999999999</v>
      </c>
      <c r="F32" s="13">
        <f t="shared" si="0"/>
        <v>252.62083333333334</v>
      </c>
      <c r="G32" s="7">
        <f t="shared" si="1"/>
        <v>11.66408871240804</v>
      </c>
      <c r="H32" s="12">
        <f>ROUND(G32*0.973,0)</f>
        <v>11</v>
      </c>
      <c r="I32" s="8">
        <f t="shared" si="2"/>
        <v>-0.66408871240803968</v>
      </c>
      <c r="J32" s="9">
        <f t="shared" si="3"/>
        <v>0.94306552969700974</v>
      </c>
      <c r="K32" s="12" t="str">
        <f t="shared" si="4"/>
        <v>Understaffed</v>
      </c>
    </row>
    <row r="33" spans="1:11" x14ac:dyDescent="0.3">
      <c r="A33" s="2" t="s">
        <v>19</v>
      </c>
      <c r="B33" s="14" t="s">
        <v>37</v>
      </c>
      <c r="C33" s="15">
        <v>2520</v>
      </c>
      <c r="D33" s="14">
        <v>327</v>
      </c>
      <c r="E33" s="5">
        <v>0.36699999999999999</v>
      </c>
      <c r="F33" s="15">
        <f t="shared" si="0"/>
        <v>228.9</v>
      </c>
      <c r="G33" s="3">
        <f t="shared" si="1"/>
        <v>10.635628659046558</v>
      </c>
      <c r="H33" s="14">
        <f>ROUND(G33*1.054,0)</f>
        <v>11</v>
      </c>
      <c r="I33" s="4">
        <f t="shared" si="2"/>
        <v>0.3643713409534417</v>
      </c>
      <c r="J33" s="5">
        <f t="shared" si="3"/>
        <v>1.0342595019659238</v>
      </c>
      <c r="K33" s="14" t="str">
        <f t="shared" si="4"/>
        <v>Balanced</v>
      </c>
    </row>
    <row r="34" spans="1:11" x14ac:dyDescent="0.3">
      <c r="A34" s="6" t="s">
        <v>19</v>
      </c>
      <c r="B34" s="12" t="s">
        <v>38</v>
      </c>
      <c r="C34" s="13">
        <v>2757</v>
      </c>
      <c r="D34" s="12">
        <v>348</v>
      </c>
      <c r="E34" s="9">
        <v>0.318</v>
      </c>
      <c r="F34" s="13">
        <f t="shared" si="0"/>
        <v>266.51</v>
      </c>
      <c r="G34" s="7">
        <f t="shared" si="1"/>
        <v>11.493444885285493</v>
      </c>
      <c r="H34" s="12">
        <f>ROUND(G34*0.986,0)</f>
        <v>11</v>
      </c>
      <c r="I34" s="8">
        <f t="shared" si="2"/>
        <v>-0.49344488528549313</v>
      </c>
      <c r="J34" s="9">
        <f t="shared" si="3"/>
        <v>0.95706727702525229</v>
      </c>
      <c r="K34" s="12" t="str">
        <f t="shared" si="4"/>
        <v>Balanced</v>
      </c>
    </row>
    <row r="35" spans="1:11" x14ac:dyDescent="0.3">
      <c r="A35" s="2" t="s">
        <v>19</v>
      </c>
      <c r="B35" s="14" t="s">
        <v>39</v>
      </c>
      <c r="C35" s="15">
        <v>3400</v>
      </c>
      <c r="D35" s="14">
        <v>231</v>
      </c>
      <c r="E35" s="5">
        <v>0.27600000000000002</v>
      </c>
      <c r="F35" s="15">
        <f t="shared" si="0"/>
        <v>218.16666666666666</v>
      </c>
      <c r="G35" s="3">
        <f t="shared" si="1"/>
        <v>8.8627992633517501</v>
      </c>
      <c r="H35" s="14">
        <f>ROUND(G35*1.073,0)</f>
        <v>10</v>
      </c>
      <c r="I35" s="4">
        <f t="shared" si="2"/>
        <v>1.1372007366482499</v>
      </c>
      <c r="J35" s="5">
        <f t="shared" si="3"/>
        <v>1.1283116883116882</v>
      </c>
      <c r="K35" s="14" t="str">
        <f t="shared" si="4"/>
        <v>Balanced</v>
      </c>
    </row>
    <row r="36" spans="1:11" x14ac:dyDescent="0.3">
      <c r="A36" s="6" t="s">
        <v>20</v>
      </c>
      <c r="B36" s="12" t="s">
        <v>36</v>
      </c>
      <c r="C36" s="13">
        <v>3815</v>
      </c>
      <c r="D36" s="12">
        <v>279</v>
      </c>
      <c r="E36" s="9">
        <v>0.33</v>
      </c>
      <c r="F36" s="13">
        <f t="shared" si="0"/>
        <v>295.66250000000002</v>
      </c>
      <c r="G36" s="7">
        <f t="shared" si="1"/>
        <v>12.979038630377527</v>
      </c>
      <c r="H36" s="12">
        <f>ROUND(G36*1.029,0)</f>
        <v>13</v>
      </c>
      <c r="I36" s="8">
        <f t="shared" si="2"/>
        <v>2.0961369622472859E-2</v>
      </c>
      <c r="J36" s="9">
        <f t="shared" si="3"/>
        <v>1.0016150171225635</v>
      </c>
      <c r="K36" s="12" t="str">
        <f t="shared" si="4"/>
        <v>Balanced</v>
      </c>
    </row>
    <row r="37" spans="1:11" x14ac:dyDescent="0.3">
      <c r="A37" s="2" t="s">
        <v>20</v>
      </c>
      <c r="B37" s="14" t="s">
        <v>37</v>
      </c>
      <c r="C37" s="15">
        <v>4539</v>
      </c>
      <c r="D37" s="14">
        <v>270</v>
      </c>
      <c r="E37" s="5">
        <v>0.379</v>
      </c>
      <c r="F37" s="15">
        <f t="shared" si="0"/>
        <v>340.42500000000001</v>
      </c>
      <c r="G37" s="3">
        <f t="shared" si="1"/>
        <v>16.123188405797102</v>
      </c>
      <c r="H37" s="14">
        <f>ROUND(G37*0.981,0)</f>
        <v>16</v>
      </c>
      <c r="I37" s="4">
        <f t="shared" si="2"/>
        <v>-0.12318840579710155</v>
      </c>
      <c r="J37" s="5">
        <f t="shared" si="3"/>
        <v>0.9923595505617977</v>
      </c>
      <c r="K37" s="14" t="str">
        <f t="shared" si="4"/>
        <v>Balanced</v>
      </c>
    </row>
    <row r="38" spans="1:11" x14ac:dyDescent="0.3">
      <c r="A38" s="6" t="s">
        <v>20</v>
      </c>
      <c r="B38" s="12" t="s">
        <v>38</v>
      </c>
      <c r="C38" s="13">
        <v>3665</v>
      </c>
      <c r="D38" s="12">
        <v>221</v>
      </c>
      <c r="E38" s="9">
        <v>0.32200000000000001</v>
      </c>
      <c r="F38" s="13">
        <f t="shared" si="0"/>
        <v>224.99027777777778</v>
      </c>
      <c r="G38" s="7">
        <f t="shared" si="1"/>
        <v>9.7601196329072444</v>
      </c>
      <c r="H38" s="12">
        <f>ROUND(G38*1.07,0)</f>
        <v>10</v>
      </c>
      <c r="I38" s="8">
        <f t="shared" si="2"/>
        <v>0.23988036709275562</v>
      </c>
      <c r="J38" s="9">
        <f t="shared" si="3"/>
        <v>1.0245776052051632</v>
      </c>
      <c r="K38" s="12" t="str">
        <f t="shared" si="4"/>
        <v>Balanced</v>
      </c>
    </row>
    <row r="39" spans="1:11" x14ac:dyDescent="0.3">
      <c r="A39" s="2" t="s">
        <v>20</v>
      </c>
      <c r="B39" s="14" t="s">
        <v>39</v>
      </c>
      <c r="C39" s="15">
        <v>3571</v>
      </c>
      <c r="D39" s="14">
        <v>295</v>
      </c>
      <c r="E39" s="5">
        <v>0.379</v>
      </c>
      <c r="F39" s="15">
        <f t="shared" si="0"/>
        <v>292.62361111111113</v>
      </c>
      <c r="G39" s="3">
        <f t="shared" si="1"/>
        <v>13.85922189595108</v>
      </c>
      <c r="H39" s="14">
        <f>ROUND(G39*0.934,0)</f>
        <v>13</v>
      </c>
      <c r="I39" s="4">
        <f t="shared" si="2"/>
        <v>-0.85922189595108023</v>
      </c>
      <c r="J39" s="5">
        <f t="shared" si="3"/>
        <v>0.93800359771986197</v>
      </c>
      <c r="K39" s="14" t="str">
        <f t="shared" si="4"/>
        <v>Understaffed</v>
      </c>
    </row>
    <row r="40" spans="1:11" x14ac:dyDescent="0.3">
      <c r="A40" s="6" t="s">
        <v>21</v>
      </c>
      <c r="B40" s="12" t="s">
        <v>36</v>
      </c>
      <c r="C40" s="13">
        <v>4302</v>
      </c>
      <c r="D40" s="12">
        <v>292</v>
      </c>
      <c r="E40" s="9">
        <v>0.27600000000000002</v>
      </c>
      <c r="F40" s="13">
        <f t="shared" si="0"/>
        <v>348.94</v>
      </c>
      <c r="G40" s="7">
        <f t="shared" si="1"/>
        <v>14.175333116672084</v>
      </c>
      <c r="H40" s="12">
        <f>ROUND(G40*0.999,0)</f>
        <v>14</v>
      </c>
      <c r="I40" s="8">
        <f t="shared" si="2"/>
        <v>-0.17533311667208373</v>
      </c>
      <c r="J40" s="9">
        <f t="shared" si="3"/>
        <v>0.9876311113658508</v>
      </c>
      <c r="K40" s="12" t="str">
        <f t="shared" si="4"/>
        <v>Balanced</v>
      </c>
    </row>
    <row r="41" spans="1:11" x14ac:dyDescent="0.3">
      <c r="A41" s="2" t="s">
        <v>21</v>
      </c>
      <c r="B41" s="14" t="s">
        <v>37</v>
      </c>
      <c r="C41" s="15">
        <v>3226</v>
      </c>
      <c r="D41" s="14">
        <v>249</v>
      </c>
      <c r="E41" s="5">
        <v>0.24299999999999999</v>
      </c>
      <c r="F41" s="15">
        <f t="shared" si="0"/>
        <v>223.13166666666666</v>
      </c>
      <c r="G41" s="3">
        <f t="shared" si="1"/>
        <v>8.6693475276504266</v>
      </c>
      <c r="H41" s="14">
        <f>ROUND(G41*1.027,0)</f>
        <v>9</v>
      </c>
      <c r="I41" s="4">
        <f t="shared" si="2"/>
        <v>0.3306524723495734</v>
      </c>
      <c r="J41" s="5">
        <f t="shared" si="3"/>
        <v>1.0381404103705585</v>
      </c>
      <c r="K41" s="14" t="str">
        <f t="shared" si="4"/>
        <v>Balanced</v>
      </c>
    </row>
    <row r="42" spans="1:11" x14ac:dyDescent="0.3">
      <c r="A42" s="6" t="s">
        <v>21</v>
      </c>
      <c r="B42" s="12" t="s">
        <v>38</v>
      </c>
      <c r="C42" s="13">
        <v>3341</v>
      </c>
      <c r="D42" s="12">
        <v>275</v>
      </c>
      <c r="E42" s="9">
        <v>0.33200000000000002</v>
      </c>
      <c r="F42" s="13">
        <f t="shared" si="0"/>
        <v>255.21527777777777</v>
      </c>
      <c r="G42" s="7">
        <f t="shared" si="1"/>
        <v>11.237023502015576</v>
      </c>
      <c r="H42" s="12">
        <f>ROUND(G42*1.016,0)</f>
        <v>11</v>
      </c>
      <c r="I42" s="8">
        <f t="shared" si="2"/>
        <v>-0.23702350201557643</v>
      </c>
      <c r="J42" s="9">
        <f t="shared" si="3"/>
        <v>0.97890691409757558</v>
      </c>
      <c r="K42" s="12" t="str">
        <f t="shared" si="4"/>
        <v>Balanced</v>
      </c>
    </row>
    <row r="43" spans="1:11" x14ac:dyDescent="0.3">
      <c r="A43" s="2" t="s">
        <v>21</v>
      </c>
      <c r="B43" s="14" t="s">
        <v>39</v>
      </c>
      <c r="C43" s="15">
        <v>4031</v>
      </c>
      <c r="D43" s="14">
        <v>309</v>
      </c>
      <c r="E43" s="5">
        <v>0.35099999999999998</v>
      </c>
      <c r="F43" s="15">
        <f t="shared" si="0"/>
        <v>345.99416666666667</v>
      </c>
      <c r="G43" s="3">
        <f t="shared" si="1"/>
        <v>15.679967672739359</v>
      </c>
      <c r="H43" s="14">
        <f>ROUND(G43*0.911,0)</f>
        <v>14</v>
      </c>
      <c r="I43" s="4">
        <f t="shared" si="2"/>
        <v>-1.6799676727393589</v>
      </c>
      <c r="J43" s="5">
        <f t="shared" si="3"/>
        <v>0.89285898365338523</v>
      </c>
      <c r="K43" s="14" t="str">
        <f t="shared" si="4"/>
        <v>Understaffed</v>
      </c>
    </row>
    <row r="44" spans="1:11" x14ac:dyDescent="0.3">
      <c r="A44" s="6" t="s">
        <v>22</v>
      </c>
      <c r="B44" s="12" t="s">
        <v>36</v>
      </c>
      <c r="C44" s="13">
        <v>2860</v>
      </c>
      <c r="D44" s="12">
        <v>251</v>
      </c>
      <c r="E44" s="9">
        <v>0.36599999999999999</v>
      </c>
      <c r="F44" s="13">
        <f t="shared" si="0"/>
        <v>199.40555555555557</v>
      </c>
      <c r="G44" s="7">
        <f t="shared" si="1"/>
        <v>9.2505824622172756</v>
      </c>
      <c r="H44" s="12">
        <f>ROUND(G44*1.083,0)</f>
        <v>10</v>
      </c>
      <c r="I44" s="8">
        <f t="shared" si="2"/>
        <v>0.74941753778272435</v>
      </c>
      <c r="J44" s="9">
        <f t="shared" si="3"/>
        <v>1.0810130108934888</v>
      </c>
      <c r="K44" s="12" t="str">
        <f t="shared" si="4"/>
        <v>Balanced</v>
      </c>
    </row>
    <row r="45" spans="1:11" x14ac:dyDescent="0.3">
      <c r="A45" s="2" t="s">
        <v>22</v>
      </c>
      <c r="B45" s="14" t="s">
        <v>37</v>
      </c>
      <c r="C45" s="15">
        <v>2606</v>
      </c>
      <c r="D45" s="14">
        <v>313</v>
      </c>
      <c r="E45" s="5">
        <v>0.28399999999999997</v>
      </c>
      <c r="F45" s="15">
        <f t="shared" si="0"/>
        <v>226.57722222222222</v>
      </c>
      <c r="G45" s="3">
        <f t="shared" si="1"/>
        <v>9.3073127761346619</v>
      </c>
      <c r="H45" s="14">
        <f>ROUND(G45*0.902,0)</f>
        <v>8</v>
      </c>
      <c r="I45" s="4">
        <f t="shared" si="2"/>
        <v>-1.3073127761346619</v>
      </c>
      <c r="J45" s="5">
        <f t="shared" si="3"/>
        <v>0.85953918090226789</v>
      </c>
      <c r="K45" s="14" t="str">
        <f t="shared" si="4"/>
        <v>Understaffed</v>
      </c>
    </row>
    <row r="46" spans="1:11" x14ac:dyDescent="0.3">
      <c r="A46" s="6" t="s">
        <v>22</v>
      </c>
      <c r="B46" s="12" t="s">
        <v>38</v>
      </c>
      <c r="C46" s="13">
        <v>3212</v>
      </c>
      <c r="D46" s="12">
        <v>280</v>
      </c>
      <c r="E46" s="9">
        <v>0.311</v>
      </c>
      <c r="F46" s="13">
        <f t="shared" si="0"/>
        <v>249.82222222222222</v>
      </c>
      <c r="G46" s="7">
        <f t="shared" si="1"/>
        <v>10.664314104935636</v>
      </c>
      <c r="H46" s="12">
        <f>ROUND(G46*0.954,0)</f>
        <v>10</v>
      </c>
      <c r="I46" s="8">
        <f t="shared" si="2"/>
        <v>-0.66431410493563625</v>
      </c>
      <c r="J46" s="9">
        <f t="shared" si="3"/>
        <v>0.93770681373421105</v>
      </c>
      <c r="K46" s="12" t="str">
        <f t="shared" si="4"/>
        <v>Understaffed</v>
      </c>
    </row>
    <row r="47" spans="1:11" x14ac:dyDescent="0.3">
      <c r="A47" s="2" t="s">
        <v>22</v>
      </c>
      <c r="B47" s="14" t="s">
        <v>39</v>
      </c>
      <c r="C47" s="15">
        <v>2602</v>
      </c>
      <c r="D47" s="14">
        <v>318</v>
      </c>
      <c r="E47" s="5">
        <v>0.35699999999999998</v>
      </c>
      <c r="F47" s="15">
        <f t="shared" si="0"/>
        <v>229.84333333333333</v>
      </c>
      <c r="G47" s="3">
        <f t="shared" si="1"/>
        <v>10.513371756167476</v>
      </c>
      <c r="H47" s="14">
        <f>ROUND(G47*0.949,0)</f>
        <v>10</v>
      </c>
      <c r="I47" s="4">
        <f t="shared" si="2"/>
        <v>-0.51337175616747643</v>
      </c>
      <c r="J47" s="5">
        <f t="shared" si="3"/>
        <v>0.95116963728916781</v>
      </c>
      <c r="K47" s="14" t="str">
        <f t="shared" si="4"/>
        <v>Balanced</v>
      </c>
    </row>
    <row r="48" spans="1:11" x14ac:dyDescent="0.3">
      <c r="A48" s="6" t="s">
        <v>23</v>
      </c>
      <c r="B48" s="12" t="s">
        <v>36</v>
      </c>
      <c r="C48" s="13">
        <v>4586</v>
      </c>
      <c r="D48" s="12">
        <v>318</v>
      </c>
      <c r="E48" s="9">
        <v>0.25</v>
      </c>
      <c r="F48" s="13">
        <f t="shared" si="0"/>
        <v>405.09666666666669</v>
      </c>
      <c r="G48" s="7">
        <f t="shared" si="1"/>
        <v>15.886143790849674</v>
      </c>
      <c r="H48" s="12">
        <f>ROUND(G48*0.872,0)</f>
        <v>14</v>
      </c>
      <c r="I48" s="8">
        <f t="shared" si="2"/>
        <v>-1.8861437908496743</v>
      </c>
      <c r="J48" s="9">
        <f t="shared" si="3"/>
        <v>0.88127113693027992</v>
      </c>
      <c r="K48" s="12" t="str">
        <f t="shared" si="4"/>
        <v>Understaffed</v>
      </c>
    </row>
    <row r="49" spans="1:11" x14ac:dyDescent="0.3">
      <c r="A49" s="2" t="s">
        <v>23</v>
      </c>
      <c r="B49" s="14" t="s">
        <v>37</v>
      </c>
      <c r="C49" s="15">
        <v>3898</v>
      </c>
      <c r="D49" s="14">
        <v>334</v>
      </c>
      <c r="E49" s="5">
        <v>0.36899999999999999</v>
      </c>
      <c r="F49" s="15">
        <f t="shared" si="0"/>
        <v>361.64777777777778</v>
      </c>
      <c r="G49" s="3">
        <f t="shared" si="1"/>
        <v>16.856892783526511</v>
      </c>
      <c r="H49" s="14">
        <f>ROUND(G49*0.946,0)</f>
        <v>16</v>
      </c>
      <c r="I49" s="4">
        <f t="shared" si="2"/>
        <v>-0.85689278352651144</v>
      </c>
      <c r="J49" s="5">
        <f t="shared" si="3"/>
        <v>0.94916662314160805</v>
      </c>
      <c r="K49" s="14" t="str">
        <f t="shared" si="4"/>
        <v>Understaffed</v>
      </c>
    </row>
    <row r="50" spans="1:11" x14ac:dyDescent="0.3">
      <c r="A50" s="6" t="s">
        <v>23</v>
      </c>
      <c r="B50" s="12" t="s">
        <v>38</v>
      </c>
      <c r="C50" s="13">
        <v>4187</v>
      </c>
      <c r="D50" s="12">
        <v>352</v>
      </c>
      <c r="E50" s="9">
        <v>0.34200000000000003</v>
      </c>
      <c r="F50" s="13">
        <f t="shared" si="0"/>
        <v>409.39555555555557</v>
      </c>
      <c r="G50" s="7">
        <f t="shared" si="1"/>
        <v>18.299461628623085</v>
      </c>
      <c r="H50" s="12">
        <f>ROUND(G50*0.917,0)</f>
        <v>17</v>
      </c>
      <c r="I50" s="8">
        <f t="shared" si="2"/>
        <v>-1.2994616286230851</v>
      </c>
      <c r="J50" s="9">
        <f t="shared" si="3"/>
        <v>0.92898907875024406</v>
      </c>
      <c r="K50" s="12" t="str">
        <f t="shared" si="4"/>
        <v>Understaffed</v>
      </c>
    </row>
    <row r="51" spans="1:11" x14ac:dyDescent="0.3">
      <c r="A51" s="2" t="s">
        <v>23</v>
      </c>
      <c r="B51" s="14" t="s">
        <v>39</v>
      </c>
      <c r="C51" s="15">
        <v>3569</v>
      </c>
      <c r="D51" s="14">
        <v>328</v>
      </c>
      <c r="E51" s="5">
        <v>0.28399999999999997</v>
      </c>
      <c r="F51" s="15">
        <f t="shared" si="0"/>
        <v>325.17555555555555</v>
      </c>
      <c r="G51" s="3">
        <f t="shared" si="1"/>
        <v>13.357523642604153</v>
      </c>
      <c r="H51" s="14">
        <f>ROUND(G51*0.939,0)</f>
        <v>13</v>
      </c>
      <c r="I51" s="4">
        <f t="shared" si="2"/>
        <v>-0.35752364260415348</v>
      </c>
      <c r="J51" s="5">
        <f t="shared" si="3"/>
        <v>0.97323428712011983</v>
      </c>
      <c r="K51" s="14" t="str">
        <f t="shared" si="4"/>
        <v>Balanced</v>
      </c>
    </row>
    <row r="52" spans="1:11" x14ac:dyDescent="0.3">
      <c r="A52" s="6" t="s">
        <v>24</v>
      </c>
      <c r="B52" s="12" t="s">
        <v>36</v>
      </c>
      <c r="C52" s="13">
        <v>6111</v>
      </c>
      <c r="D52" s="12">
        <v>326</v>
      </c>
      <c r="E52" s="9">
        <v>0.311</v>
      </c>
      <c r="F52" s="13">
        <f t="shared" si="0"/>
        <v>553.38499999999999</v>
      </c>
      <c r="G52" s="7">
        <f t="shared" si="1"/>
        <v>23.622684197046016</v>
      </c>
      <c r="H52" s="12">
        <f>ROUND(G52*0.895,0)</f>
        <v>21</v>
      </c>
      <c r="I52" s="8">
        <f t="shared" si="2"/>
        <v>-2.6226841970460164</v>
      </c>
      <c r="J52" s="9">
        <f t="shared" si="3"/>
        <v>0.88897602934665743</v>
      </c>
      <c r="K52" s="12" t="str">
        <f t="shared" si="4"/>
        <v>Understaffed</v>
      </c>
    </row>
    <row r="53" spans="1:11" x14ac:dyDescent="0.3">
      <c r="A53" s="2" t="s">
        <v>24</v>
      </c>
      <c r="B53" s="14" t="s">
        <v>37</v>
      </c>
      <c r="C53" s="15">
        <v>6518</v>
      </c>
      <c r="D53" s="14">
        <v>246</v>
      </c>
      <c r="E53" s="5">
        <v>0.33600000000000002</v>
      </c>
      <c r="F53" s="15">
        <f t="shared" si="0"/>
        <v>445.39666666666665</v>
      </c>
      <c r="G53" s="3">
        <f t="shared" si="1"/>
        <v>19.728768013229391</v>
      </c>
      <c r="H53" s="14">
        <f>ROUND(G53*1.065,0)</f>
        <v>21</v>
      </c>
      <c r="I53" s="4">
        <f t="shared" si="2"/>
        <v>1.2712319867706086</v>
      </c>
      <c r="J53" s="5">
        <f t="shared" si="3"/>
        <v>1.0644354470546851</v>
      </c>
      <c r="K53" s="14" t="str">
        <f t="shared" si="4"/>
        <v>Balanced</v>
      </c>
    </row>
    <row r="54" spans="1:11" x14ac:dyDescent="0.3">
      <c r="A54" s="6" t="s">
        <v>24</v>
      </c>
      <c r="B54" s="12" t="s">
        <v>38</v>
      </c>
      <c r="C54" s="13">
        <v>5645</v>
      </c>
      <c r="D54" s="12">
        <v>212</v>
      </c>
      <c r="E54" s="9">
        <v>0.33800000000000002</v>
      </c>
      <c r="F54" s="13">
        <f t="shared" si="0"/>
        <v>332.42777777777781</v>
      </c>
      <c r="G54" s="7">
        <f t="shared" si="1"/>
        <v>14.769316588669712</v>
      </c>
      <c r="H54" s="12">
        <f>ROUND(G54*1.087,0)</f>
        <v>16</v>
      </c>
      <c r="I54" s="8">
        <f t="shared" si="2"/>
        <v>1.230683411330288</v>
      </c>
      <c r="J54" s="9">
        <f t="shared" si="3"/>
        <v>1.0833270384544675</v>
      </c>
      <c r="K54" s="12" t="str">
        <f t="shared" si="4"/>
        <v>Balanced</v>
      </c>
    </row>
    <row r="55" spans="1:11" x14ac:dyDescent="0.3">
      <c r="A55" s="2" t="s">
        <v>24</v>
      </c>
      <c r="B55" s="14" t="s">
        <v>39</v>
      </c>
      <c r="C55" s="15">
        <v>5366</v>
      </c>
      <c r="D55" s="14">
        <v>336</v>
      </c>
      <c r="E55" s="5">
        <v>0.26500000000000001</v>
      </c>
      <c r="F55" s="15">
        <f t="shared" si="0"/>
        <v>500.82666666666665</v>
      </c>
      <c r="G55" s="3">
        <f t="shared" si="1"/>
        <v>20.041083099906629</v>
      </c>
      <c r="H55" s="14">
        <f>ROUND(G55*1.103,0)</f>
        <v>22</v>
      </c>
      <c r="I55" s="4">
        <f t="shared" si="2"/>
        <v>1.9589169000933708</v>
      </c>
      <c r="J55" s="5">
        <f t="shared" si="3"/>
        <v>1.0977450614983228</v>
      </c>
      <c r="K55" s="14" t="str">
        <f t="shared" si="4"/>
        <v>Balanced</v>
      </c>
    </row>
  </sheetData>
  <mergeCells count="4">
    <mergeCell ref="A5:C5"/>
    <mergeCell ref="A4:C4"/>
    <mergeCell ref="A2:L2"/>
    <mergeCell ref="A1:L1"/>
  </mergeCells>
  <conditionalFormatting sqref="K8:K55">
    <cfRule type="cellIs" dxfId="2" priority="1" operator="equal">
      <formula>"Understaffed"</formula>
    </cfRule>
    <cfRule type="cellIs" dxfId="1" priority="2" operator="equal">
      <formula>"Overstaffed"</formula>
    </cfRule>
    <cfRule type="cellIs" dxfId="0" priority="3" operator="equal">
      <formula>"Balanced"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WFM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 Mamabolo</cp:lastModifiedBy>
  <dcterms:created xsi:type="dcterms:W3CDTF">2026-08-08T23:43:52Z</dcterms:created>
  <dcterms:modified xsi:type="dcterms:W3CDTF">2026-08-09T00:02:09Z</dcterms:modified>
</cp:coreProperties>
</file>