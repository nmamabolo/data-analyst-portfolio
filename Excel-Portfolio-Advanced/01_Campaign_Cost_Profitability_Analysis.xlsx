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ashboard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ostData" sheetId="3" state="visible" r:id="rId3"/>
    <sheet xmlns:r="http://schemas.openxmlformats.org/officeDocument/2006/relationships" name="Prod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"/>
    <numFmt numFmtId="165" formatCode="R#,##0"/>
    <numFmt numFmtId="166" formatCode="0.0%"/>
    <numFmt numFmtId="167" formatCode="R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1F3864"/>
      <sz val="15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165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5" fillId="5" borderId="2" pivotButton="0" quotePrefix="0" xfId="0"/>
    <xf numFmtId="0" fontId="5" fillId="5" borderId="2" applyAlignment="1" pivotButton="0" quotePrefix="0" xfId="0">
      <alignment horizontal="left"/>
    </xf>
    <xf numFmtId="165" fontId="5" fillId="5" borderId="2" pivotButton="0" quotePrefix="0" xfId="0"/>
    <xf numFmtId="166" fontId="5" fillId="5" borderId="2" pivotButton="0" quotePrefix="0" xfId="0"/>
    <xf numFmtId="0" fontId="8" fillId="7" borderId="0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 by Campaign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'P&amp;L Dashboard'!D8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 Dashboard'!$B$9:$B$20</f>
            </numRef>
          </cat>
          <val>
            <numRef>
              <f>'P&amp;L Dashboard'!$D$9:$D$20</f>
            </numRef>
          </val>
        </ser>
        <ser>
          <idx val="1"/>
          <order val="1"/>
          <tx>
            <strRef>
              <f>'P&amp;L Dashboard'!E8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 Dashboard'!$B$9:$B$20</f>
            </numRef>
          </cat>
          <val>
            <numRef>
              <f>'P&amp;L Dashboard'!$E$9:$E$20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% by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'P&amp;L 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 Dashboard'!$B$9:$B$20</f>
            </numRef>
          </cat>
          <val>
            <numRef>
              <f>'P&amp;L Dashboard'!$G$9:$G$20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Company Cost Stack</a:t>
            </a:r>
          </a:p>
        </rich>
      </tx>
    </title>
    <plotArea>
      <pieChart>
        <varyColors val="1"/>
        <ser>
          <idx val="0"/>
          <order val="0"/>
          <tx>
            <strRef>
              <f>'P&amp;L 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 Dashboard'!$A$26:$A$31</f>
            </numRef>
          </cat>
          <val>
            <numRef>
              <f>'P&amp;L Dashboard'!$B$26:$B$31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25</row>
      <rowOff>0</rowOff>
    </from>
    <ext cx="36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25</row>
      <rowOff>0</rowOff>
    </from>
    <ext cx="36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9" customWidth="1" min="7" max="7"/>
    <col width="12" customWidth="1" min="8" max="8"/>
    <col width="11" customWidth="1" min="9" max="9"/>
    <col width="12" customWidth="1" min="10" max="10"/>
    <col width="8" customWidth="1" min="11" max="11"/>
    <col width="10" customWidth="1" min="12" max="12"/>
    <col width="10" customWidth="1" min="13" max="13"/>
  </cols>
  <sheetData>
    <row r="1" ht="30" customHeight="1">
      <c r="A1" s="1" t="inlineStr">
        <is>
          <t>Campaign Profitability Dashboard — 6-Month View (Feb–Jul 2026)</t>
        </is>
      </c>
    </row>
    <row r="2">
      <c r="A2" s="2" t="inlineStr">
        <is>
          <t>Every cell is a live SUMIF against CostData &amp; Production. Change any cost and the P&amp;L updates.</t>
        </is>
      </c>
    </row>
    <row r="4">
      <c r="A4" s="3" t="inlineStr">
        <is>
          <t>Total Cost</t>
        </is>
      </c>
      <c r="C4" s="3" t="inlineStr">
        <is>
          <t>Total Revenue</t>
        </is>
      </c>
      <c r="E4" s="3" t="inlineStr">
        <is>
          <t>Gross Profit</t>
        </is>
      </c>
      <c r="G4" s="3" t="inlineStr">
        <is>
          <t>Blended Margin</t>
        </is>
      </c>
      <c r="I4" s="3" t="inlineStr">
        <is>
          <t>Total FTE</t>
        </is>
      </c>
      <c r="K4" s="3" t="inlineStr">
        <is>
          <t>Cost / Sale</t>
        </is>
      </c>
    </row>
    <row r="5">
      <c r="A5" s="4">
        <f>CostData!J77</f>
        <v/>
      </c>
      <c r="C5" s="4">
        <f>Production!F77</f>
        <v/>
      </c>
      <c r="E5" s="4">
        <f>Production!F77-CostData!J77</f>
        <v/>
      </c>
      <c r="G5" s="5">
        <f>(Production!F77-CostData!J77)/Production!F77</f>
        <v/>
      </c>
      <c r="I5" s="6">
        <f>CostData!C77/6</f>
        <v/>
      </c>
      <c r="K5" s="4">
        <f>CostData!J77/Production!D77</f>
        <v/>
      </c>
    </row>
    <row r="6"/>
    <row r="8" ht="30" customHeight="1">
      <c r="A8" s="7" t="inlineStr">
        <is>
          <t>Rank</t>
        </is>
      </c>
      <c r="B8" s="7" t="inlineStr">
        <is>
          <t>Campaign</t>
        </is>
      </c>
      <c r="C8" s="7" t="inlineStr">
        <is>
          <t>Type</t>
        </is>
      </c>
      <c r="D8" s="7" t="inlineStr">
        <is>
          <t>Total Cost</t>
        </is>
      </c>
      <c r="E8" s="7" t="inlineStr">
        <is>
          <t>Revenue</t>
        </is>
      </c>
      <c r="F8" s="7" t="inlineStr">
        <is>
          <t>Gross Profit</t>
        </is>
      </c>
      <c r="G8" s="7" t="inlineStr">
        <is>
          <t>Margin %</t>
        </is>
      </c>
      <c r="H8" s="7" t="inlineStr">
        <is>
          <t>Cost/Contact</t>
        </is>
      </c>
      <c r="I8" s="7" t="inlineStr">
        <is>
          <t>Cost/Sale</t>
        </is>
      </c>
      <c r="J8" s="7" t="inlineStr">
        <is>
          <t>Rev/FTE</t>
        </is>
      </c>
      <c r="K8" s="7" t="inlineStr">
        <is>
          <t>ROI</t>
        </is>
      </c>
    </row>
    <row r="9">
      <c r="A9" s="8">
        <f>RANK(F9,$F$9:$F$20)</f>
        <v/>
      </c>
      <c r="B9" s="9" t="inlineStr">
        <is>
          <t>Vodacom Upgrades</t>
        </is>
      </c>
      <c r="C9" s="9" t="inlineStr">
        <is>
          <t>Sales</t>
        </is>
      </c>
      <c r="D9" s="10">
        <f>SUMIF(CostData!$A$5:$A$76,B9,CostData!$J$5:$J$76)</f>
        <v/>
      </c>
      <c r="E9" s="10">
        <f>SUMIF(Production!$A$5:$A$76,B9,Production!$F$5:$F$76)</f>
        <v/>
      </c>
      <c r="F9" s="10">
        <f>E9-D9</f>
        <v/>
      </c>
      <c r="G9" s="11">
        <f>F9/E9</f>
        <v/>
      </c>
      <c r="H9" s="12">
        <f>D9/SUMIF(Production!$A$5:$A$76,B9,Production!$C$5:$C$76)</f>
        <v/>
      </c>
      <c r="I9" s="12">
        <f>D9/SUMIF(Production!$A$5:$A$76,B9,Production!$D$5:$D$76)</f>
        <v/>
      </c>
      <c r="J9" s="10">
        <f>E9/(SUMIF(CostData!$A$5:$A$76,B9,CostData!$C$5:$C$76)/6)</f>
        <v/>
      </c>
      <c r="K9" s="11">
        <f>F9/D9</f>
        <v/>
      </c>
    </row>
    <row r="10">
      <c r="A10" s="13">
        <f>RANK(F10,$F$9:$F$20)</f>
        <v/>
      </c>
      <c r="B10" s="14" t="inlineStr">
        <is>
          <t>ABSA Collections</t>
        </is>
      </c>
      <c r="C10" s="14" t="inlineStr">
        <is>
          <t>Collections</t>
        </is>
      </c>
      <c r="D10" s="15">
        <f>SUMIF(CostData!$A$5:$A$76,B10,CostData!$J$5:$J$76)</f>
        <v/>
      </c>
      <c r="E10" s="15">
        <f>SUMIF(Production!$A$5:$A$76,B10,Production!$F$5:$F$76)</f>
        <v/>
      </c>
      <c r="F10" s="15">
        <f>E10-D10</f>
        <v/>
      </c>
      <c r="G10" s="16">
        <f>F10/E10</f>
        <v/>
      </c>
      <c r="H10" s="17">
        <f>D10/SUMIF(Production!$A$5:$A$76,B10,Production!$C$5:$C$76)</f>
        <v/>
      </c>
      <c r="I10" s="17">
        <f>D10/SUMIF(Production!$A$5:$A$76,B10,Production!$D$5:$D$76)</f>
        <v/>
      </c>
      <c r="J10" s="15">
        <f>E10/(SUMIF(CostData!$A$5:$A$76,B10,CostData!$C$5:$C$76)/6)</f>
        <v/>
      </c>
      <c r="K10" s="16">
        <f>F10/D10</f>
        <v/>
      </c>
    </row>
    <row r="11">
      <c r="A11" s="8">
        <f>RANK(F11,$F$9:$F$20)</f>
        <v/>
      </c>
      <c r="B11" s="9" t="inlineStr">
        <is>
          <t>MTN Retentions</t>
        </is>
      </c>
      <c r="C11" s="9" t="inlineStr">
        <is>
          <t>Retentions</t>
        </is>
      </c>
      <c r="D11" s="10">
        <f>SUMIF(CostData!$A$5:$A$76,B11,CostData!$J$5:$J$76)</f>
        <v/>
      </c>
      <c r="E11" s="10">
        <f>SUMIF(Production!$A$5:$A$76,B11,Production!$F$5:$F$76)</f>
        <v/>
      </c>
      <c r="F11" s="10">
        <f>E11-D11</f>
        <v/>
      </c>
      <c r="G11" s="11">
        <f>F11/E11</f>
        <v/>
      </c>
      <c r="H11" s="12">
        <f>D11/SUMIF(Production!$A$5:$A$76,B11,Production!$C$5:$C$76)</f>
        <v/>
      </c>
      <c r="I11" s="12">
        <f>D11/SUMIF(Production!$A$5:$A$76,B11,Production!$D$5:$D$76)</f>
        <v/>
      </c>
      <c r="J11" s="10">
        <f>E11/(SUMIF(CostData!$A$5:$A$76,B11,CostData!$C$5:$C$76)/6)</f>
        <v/>
      </c>
      <c r="K11" s="11">
        <f>F11/D11</f>
        <v/>
      </c>
    </row>
    <row r="12">
      <c r="A12" s="13">
        <f>RANK(F12,$F$9:$F$20)</f>
        <v/>
      </c>
      <c r="B12" s="14" t="inlineStr">
        <is>
          <t>Takealot Care</t>
        </is>
      </c>
      <c r="C12" s="14" t="inlineStr">
        <is>
          <t>Customer Care</t>
        </is>
      </c>
      <c r="D12" s="15">
        <f>SUMIF(CostData!$A$5:$A$76,B12,CostData!$J$5:$J$76)</f>
        <v/>
      </c>
      <c r="E12" s="15">
        <f>SUMIF(Production!$A$5:$A$76,B12,Production!$F$5:$F$76)</f>
        <v/>
      </c>
      <c r="F12" s="15">
        <f>E12-D12</f>
        <v/>
      </c>
      <c r="G12" s="16">
        <f>F12/E12</f>
        <v/>
      </c>
      <c r="H12" s="17">
        <f>D12/SUMIF(Production!$A$5:$A$76,B12,Production!$C$5:$C$76)</f>
        <v/>
      </c>
      <c r="I12" s="17">
        <f>D12/SUMIF(Production!$A$5:$A$76,B12,Production!$D$5:$D$76)</f>
        <v/>
      </c>
      <c r="J12" s="15">
        <f>E12/(SUMIF(CostData!$A$5:$A$76,B12,CostData!$C$5:$C$76)/6)</f>
        <v/>
      </c>
      <c r="K12" s="16">
        <f>F12/D12</f>
        <v/>
      </c>
    </row>
    <row r="13">
      <c r="A13" s="8">
        <f>RANK(F13,$F$9:$F$20)</f>
        <v/>
      </c>
      <c r="B13" s="9" t="inlineStr">
        <is>
          <t>Telkom Tech Support</t>
        </is>
      </c>
      <c r="C13" s="9" t="inlineStr">
        <is>
          <t>Tech Support</t>
        </is>
      </c>
      <c r="D13" s="10">
        <f>SUMIF(CostData!$A$5:$A$76,B13,CostData!$J$5:$J$76)</f>
        <v/>
      </c>
      <c r="E13" s="10">
        <f>SUMIF(Production!$A$5:$A$76,B13,Production!$F$5:$F$76)</f>
        <v/>
      </c>
      <c r="F13" s="10">
        <f>E13-D13</f>
        <v/>
      </c>
      <c r="G13" s="11">
        <f>F13/E13</f>
        <v/>
      </c>
      <c r="H13" s="12">
        <f>D13/SUMIF(Production!$A$5:$A$76,B13,Production!$C$5:$C$76)</f>
        <v/>
      </c>
      <c r="I13" s="12">
        <f>D13/SUMIF(Production!$A$5:$A$76,B13,Production!$D$5:$D$76)</f>
        <v/>
      </c>
      <c r="J13" s="10">
        <f>E13/(SUMIF(CostData!$A$5:$A$76,B13,CostData!$C$5:$C$76)/6)</f>
        <v/>
      </c>
      <c r="K13" s="11">
        <f>F13/D13</f>
        <v/>
      </c>
    </row>
    <row r="14">
      <c r="A14" s="13">
        <f>RANK(F14,$F$9:$F$20)</f>
        <v/>
      </c>
      <c r="B14" s="14" t="inlineStr">
        <is>
          <t>Nedbank Debt Review</t>
        </is>
      </c>
      <c r="C14" s="14" t="inlineStr">
        <is>
          <t>Collections</t>
        </is>
      </c>
      <c r="D14" s="15">
        <f>SUMIF(CostData!$A$5:$A$76,B14,CostData!$J$5:$J$76)</f>
        <v/>
      </c>
      <c r="E14" s="15">
        <f>SUMIF(Production!$A$5:$A$76,B14,Production!$F$5:$F$76)</f>
        <v/>
      </c>
      <c r="F14" s="15">
        <f>E14-D14</f>
        <v/>
      </c>
      <c r="G14" s="16">
        <f>F14/E14</f>
        <v/>
      </c>
      <c r="H14" s="17">
        <f>D14/SUMIF(Production!$A$5:$A$76,B14,Production!$C$5:$C$76)</f>
        <v/>
      </c>
      <c r="I14" s="17">
        <f>D14/SUMIF(Production!$A$5:$A$76,B14,Production!$D$5:$D$76)</f>
        <v/>
      </c>
      <c r="J14" s="15">
        <f>E14/(SUMIF(CostData!$A$5:$A$76,B14,CostData!$C$5:$C$76)/6)</f>
        <v/>
      </c>
      <c r="K14" s="16">
        <f>F14/D14</f>
        <v/>
      </c>
    </row>
    <row r="15">
      <c r="A15" s="8">
        <f>RANK(F15,$F$9:$F$20)</f>
        <v/>
      </c>
      <c r="B15" s="9" t="inlineStr">
        <is>
          <t>DStv Upsell</t>
        </is>
      </c>
      <c r="C15" s="9" t="inlineStr">
        <is>
          <t>Sales</t>
        </is>
      </c>
      <c r="D15" s="10">
        <f>SUMIF(CostData!$A$5:$A$76,B15,CostData!$J$5:$J$76)</f>
        <v/>
      </c>
      <c r="E15" s="10">
        <f>SUMIF(Production!$A$5:$A$76,B15,Production!$F$5:$F$76)</f>
        <v/>
      </c>
      <c r="F15" s="10">
        <f>E15-D15</f>
        <v/>
      </c>
      <c r="G15" s="11">
        <f>F15/E15</f>
        <v/>
      </c>
      <c r="H15" s="12">
        <f>D15/SUMIF(Production!$A$5:$A$76,B15,Production!$C$5:$C$76)</f>
        <v/>
      </c>
      <c r="I15" s="12">
        <f>D15/SUMIF(Production!$A$5:$A$76,B15,Production!$D$5:$D$76)</f>
        <v/>
      </c>
      <c r="J15" s="10">
        <f>E15/(SUMIF(CostData!$A$5:$A$76,B15,CostData!$C$5:$C$76)/6)</f>
        <v/>
      </c>
      <c r="K15" s="11">
        <f>F15/D15</f>
        <v/>
      </c>
    </row>
    <row r="16">
      <c r="A16" s="13">
        <f>RANK(F16,$F$9:$F$20)</f>
        <v/>
      </c>
      <c r="B16" s="14" t="inlineStr">
        <is>
          <t>Discovery Lead Gen</t>
        </is>
      </c>
      <c r="C16" s="14" t="inlineStr">
        <is>
          <t>Lead Gen</t>
        </is>
      </c>
      <c r="D16" s="15">
        <f>SUMIF(CostData!$A$5:$A$76,B16,CostData!$J$5:$J$76)</f>
        <v/>
      </c>
      <c r="E16" s="15">
        <f>SUMIF(Production!$A$5:$A$76,B16,Production!$F$5:$F$76)</f>
        <v/>
      </c>
      <c r="F16" s="15">
        <f>E16-D16</f>
        <v/>
      </c>
      <c r="G16" s="16">
        <f>F16/E16</f>
        <v/>
      </c>
      <c r="H16" s="17">
        <f>D16/SUMIF(Production!$A$5:$A$76,B16,Production!$C$5:$C$76)</f>
        <v/>
      </c>
      <c r="I16" s="17">
        <f>D16/SUMIF(Production!$A$5:$A$76,B16,Production!$D$5:$D$76)</f>
        <v/>
      </c>
      <c r="J16" s="15">
        <f>E16/(SUMIF(CostData!$A$5:$A$76,B16,CostData!$C$5:$C$76)/6)</f>
        <v/>
      </c>
      <c r="K16" s="16">
        <f>F16/D16</f>
        <v/>
      </c>
    </row>
    <row r="17">
      <c r="A17" s="8">
        <f>RANK(F17,$F$9:$F$20)</f>
        <v/>
      </c>
      <c r="B17" s="9" t="inlineStr">
        <is>
          <t>Cell C Winback</t>
        </is>
      </c>
      <c r="C17" s="9" t="inlineStr">
        <is>
          <t>Retentions</t>
        </is>
      </c>
      <c r="D17" s="10">
        <f>SUMIF(CostData!$A$5:$A$76,B17,CostData!$J$5:$J$76)</f>
        <v/>
      </c>
      <c r="E17" s="10">
        <f>SUMIF(Production!$A$5:$A$76,B17,Production!$F$5:$F$76)</f>
        <v/>
      </c>
      <c r="F17" s="10">
        <f>E17-D17</f>
        <v/>
      </c>
      <c r="G17" s="11">
        <f>F17/E17</f>
        <v/>
      </c>
      <c r="H17" s="12">
        <f>D17/SUMIF(Production!$A$5:$A$76,B17,Production!$C$5:$C$76)</f>
        <v/>
      </c>
      <c r="I17" s="12">
        <f>D17/SUMIF(Production!$A$5:$A$76,B17,Production!$D$5:$D$76)</f>
        <v/>
      </c>
      <c r="J17" s="10">
        <f>E17/(SUMIF(CostData!$A$5:$A$76,B17,CostData!$C$5:$C$76)/6)</f>
        <v/>
      </c>
      <c r="K17" s="11">
        <f>F17/D17</f>
        <v/>
      </c>
    </row>
    <row r="18">
      <c r="A18" s="13">
        <f>RANK(F18,$F$9:$F$20)</f>
        <v/>
      </c>
      <c r="B18" s="14" t="inlineStr">
        <is>
          <t>OUTsurance Sales</t>
        </is>
      </c>
      <c r="C18" s="14" t="inlineStr">
        <is>
          <t>Sales</t>
        </is>
      </c>
      <c r="D18" s="15">
        <f>SUMIF(CostData!$A$5:$A$76,B18,CostData!$J$5:$J$76)</f>
        <v/>
      </c>
      <c r="E18" s="15">
        <f>SUMIF(Production!$A$5:$A$76,B18,Production!$F$5:$F$76)</f>
        <v/>
      </c>
      <c r="F18" s="15">
        <f>E18-D18</f>
        <v/>
      </c>
      <c r="G18" s="16">
        <f>F18/E18</f>
        <v/>
      </c>
      <c r="H18" s="17">
        <f>D18/SUMIF(Production!$A$5:$A$76,B18,Production!$C$5:$C$76)</f>
        <v/>
      </c>
      <c r="I18" s="17">
        <f>D18/SUMIF(Production!$A$5:$A$76,B18,Production!$D$5:$D$76)</f>
        <v/>
      </c>
      <c r="J18" s="15">
        <f>E18/(SUMIF(CostData!$A$5:$A$76,B18,CostData!$C$5:$C$76)/6)</f>
        <v/>
      </c>
      <c r="K18" s="16">
        <f>F18/D18</f>
        <v/>
      </c>
    </row>
    <row r="19">
      <c r="A19" s="8">
        <f>RANK(F19,$F$9:$F$20)</f>
        <v/>
      </c>
      <c r="B19" s="9" t="inlineStr">
        <is>
          <t>Standard Bank Helpdesk</t>
        </is>
      </c>
      <c r="C19" s="9" t="inlineStr">
        <is>
          <t>Customer Care</t>
        </is>
      </c>
      <c r="D19" s="10">
        <f>SUMIF(CostData!$A$5:$A$76,B19,CostData!$J$5:$J$76)</f>
        <v/>
      </c>
      <c r="E19" s="10">
        <f>SUMIF(Production!$A$5:$A$76,B19,Production!$F$5:$F$76)</f>
        <v/>
      </c>
      <c r="F19" s="10">
        <f>E19-D19</f>
        <v/>
      </c>
      <c r="G19" s="11">
        <f>F19/E19</f>
        <v/>
      </c>
      <c r="H19" s="12">
        <f>D19/SUMIF(Production!$A$5:$A$76,B19,Production!$C$5:$C$76)</f>
        <v/>
      </c>
      <c r="I19" s="12">
        <f>D19/SUMIF(Production!$A$5:$A$76,B19,Production!$D$5:$D$76)</f>
        <v/>
      </c>
      <c r="J19" s="10">
        <f>E19/(SUMIF(CostData!$A$5:$A$76,B19,CostData!$C$5:$C$76)/6)</f>
        <v/>
      </c>
      <c r="K19" s="11">
        <f>F19/D19</f>
        <v/>
      </c>
    </row>
    <row r="20">
      <c r="A20" s="13">
        <f>RANK(F20,$F$9:$F$20)</f>
        <v/>
      </c>
      <c r="B20" s="14" t="inlineStr">
        <is>
          <t>Shoprite Surveys</t>
        </is>
      </c>
      <c r="C20" s="14" t="inlineStr">
        <is>
          <t>Lead Gen</t>
        </is>
      </c>
      <c r="D20" s="15">
        <f>SUMIF(CostData!$A$5:$A$76,B20,CostData!$J$5:$J$76)</f>
        <v/>
      </c>
      <c r="E20" s="15">
        <f>SUMIF(Production!$A$5:$A$76,B20,Production!$F$5:$F$76)</f>
        <v/>
      </c>
      <c r="F20" s="15">
        <f>E20-D20</f>
        <v/>
      </c>
      <c r="G20" s="16">
        <f>F20/E20</f>
        <v/>
      </c>
      <c r="H20" s="17">
        <f>D20/SUMIF(Production!$A$5:$A$76,B20,Production!$C$5:$C$76)</f>
        <v/>
      </c>
      <c r="I20" s="17">
        <f>D20/SUMIF(Production!$A$5:$A$76,B20,Production!$D$5:$D$76)</f>
        <v/>
      </c>
      <c r="J20" s="15">
        <f>E20/(SUMIF(CostData!$A$5:$A$76,B20,CostData!$C$5:$C$76)/6)</f>
        <v/>
      </c>
      <c r="K20" s="16">
        <f>F20/D20</f>
        <v/>
      </c>
    </row>
    <row r="21">
      <c r="A21" s="18" t="n"/>
      <c r="B21" s="19" t="inlineStr">
        <is>
          <t>TOTAL / BLENDED</t>
        </is>
      </c>
      <c r="C21" s="18" t="n"/>
      <c r="D21" s="20">
        <f>SUM(D9:D20)</f>
        <v/>
      </c>
      <c r="E21" s="20">
        <f>SUM(E9:E20)</f>
        <v/>
      </c>
      <c r="F21" s="20">
        <f>SUM(F9:F20)</f>
        <v/>
      </c>
      <c r="G21" s="21">
        <f>F21/E21</f>
        <v/>
      </c>
      <c r="H21" s="18" t="n"/>
      <c r="I21" s="18" t="n"/>
      <c r="J21" s="18" t="n"/>
      <c r="K21" s="21">
        <f>F21/D21</f>
        <v/>
      </c>
    </row>
    <row r="24" ht="22" customHeight="1">
      <c r="A24" s="22" t="inlineStr">
        <is>
          <t>Cost Stack — Company Total</t>
        </is>
      </c>
    </row>
    <row r="25" ht="30" customHeight="1">
      <c r="A25" s="7" t="inlineStr">
        <is>
          <t>Cost Category</t>
        </is>
      </c>
      <c r="B25" s="7" t="inlineStr">
        <is>
          <t>Amount</t>
        </is>
      </c>
      <c r="C25" s="7" t="inlineStr">
        <is>
          <t>% of Cost</t>
        </is>
      </c>
    </row>
    <row r="26">
      <c r="A26" s="14" t="inlineStr">
        <is>
          <t>Labour</t>
        </is>
      </c>
      <c r="B26" s="15">
        <f>SUM(CostData!D5:D76)</f>
        <v/>
      </c>
      <c r="C26" s="16">
        <f>B26/CostData!$J$77</f>
        <v/>
      </c>
    </row>
    <row r="27">
      <c r="A27" s="9" t="inlineStr">
        <is>
          <t>Telephony</t>
        </is>
      </c>
      <c r="B27" s="10">
        <f>SUM(CostData!E5:E76)</f>
        <v/>
      </c>
      <c r="C27" s="11">
        <f>B27/CostData!$J$77</f>
        <v/>
      </c>
    </row>
    <row r="28">
      <c r="A28" s="14" t="inlineStr">
        <is>
          <t>Technology</t>
        </is>
      </c>
      <c r="B28" s="15">
        <f>SUM(CostData!F5:F76)</f>
        <v/>
      </c>
      <c r="C28" s="16">
        <f>B28/CostData!$J$77</f>
        <v/>
      </c>
    </row>
    <row r="29">
      <c r="A29" s="9" t="inlineStr">
        <is>
          <t>Facilities</t>
        </is>
      </c>
      <c r="B29" s="10">
        <f>SUM(CostData!G5:G76)</f>
        <v/>
      </c>
      <c r="C29" s="11">
        <f>B29/CostData!$J$77</f>
        <v/>
      </c>
    </row>
    <row r="30">
      <c r="A30" s="14" t="inlineStr">
        <is>
          <t>Training</t>
        </is>
      </c>
      <c r="B30" s="15">
        <f>SUM(CostData!H5:H76)</f>
        <v/>
      </c>
      <c r="C30" s="16">
        <f>B30/CostData!$J$77</f>
        <v/>
      </c>
    </row>
    <row r="31">
      <c r="A31" s="9" t="inlineStr">
        <is>
          <t>Overhead</t>
        </is>
      </c>
      <c r="B31" s="10">
        <f>SUM(CostData!I5:I76)</f>
        <v/>
      </c>
      <c r="C31" s="11">
        <f>B31/CostData!$J$77</f>
        <v/>
      </c>
    </row>
  </sheetData>
  <mergeCells count="15">
    <mergeCell ref="A4:B4"/>
    <mergeCell ref="G4:H4"/>
    <mergeCell ref="A2:L2"/>
    <mergeCell ref="E4:F4"/>
    <mergeCell ref="I4:J4"/>
    <mergeCell ref="A1:L1"/>
    <mergeCell ref="C5:D6"/>
    <mergeCell ref="A5:B6"/>
    <mergeCell ref="G5:H6"/>
    <mergeCell ref="E5:F6"/>
    <mergeCell ref="K5:L6"/>
    <mergeCell ref="I5:J6"/>
    <mergeCell ref="K4:L4"/>
    <mergeCell ref="A24:C2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5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Campaign Master — Portfolio of Client Programmes</t>
        </is>
      </c>
    </row>
    <row r="2">
      <c r="A2" s="2" t="inlineStr">
        <is>
          <t>12 active BPO campaigns feeding the cost, production and profitability model</t>
        </is>
      </c>
    </row>
    <row r="4" ht="30" customHeight="1">
      <c r="A4" s="7" t="inlineStr">
        <is>
          <t>Campaign ID</t>
        </is>
      </c>
      <c r="B4" s="7" t="inlineStr">
        <is>
          <t>Campaign</t>
        </is>
      </c>
      <c r="C4" s="7" t="inlineStr">
        <is>
          <t>Client</t>
        </is>
      </c>
      <c r="D4" s="7" t="inlineStr">
        <is>
          <t>Type</t>
        </is>
      </c>
      <c r="E4" s="7" t="inlineStr">
        <is>
          <t>Launch Date</t>
        </is>
      </c>
      <c r="F4" s="7" t="inlineStr">
        <is>
          <t>Peak Agents</t>
        </is>
      </c>
      <c r="G4" s="7" t="inlineStr">
        <is>
          <t>Status</t>
        </is>
      </c>
    </row>
    <row r="5">
      <c r="A5" s="8" t="inlineStr">
        <is>
          <t>CMP-01</t>
        </is>
      </c>
      <c r="B5" s="9" t="inlineStr">
        <is>
          <t>Vodacom Upgrades</t>
        </is>
      </c>
      <c r="C5" s="9" t="inlineStr">
        <is>
          <t>Vodacom</t>
        </is>
      </c>
      <c r="D5" s="9" t="inlineStr">
        <is>
          <t>Sales</t>
        </is>
      </c>
      <c r="E5" s="23">
        <f>DATE(2025,4,18)</f>
        <v/>
      </c>
      <c r="F5" s="8" t="n">
        <v>55</v>
      </c>
      <c r="G5" s="8" t="inlineStr">
        <is>
          <t>Active</t>
        </is>
      </c>
    </row>
    <row r="6">
      <c r="A6" s="13" t="inlineStr">
        <is>
          <t>CMP-02</t>
        </is>
      </c>
      <c r="B6" s="14" t="inlineStr">
        <is>
          <t>ABSA Collections</t>
        </is>
      </c>
      <c r="C6" s="14" t="inlineStr">
        <is>
          <t>ABSA</t>
        </is>
      </c>
      <c r="D6" s="14" t="inlineStr">
        <is>
          <t>Collections</t>
        </is>
      </c>
      <c r="E6" s="24">
        <f>DATE(2025,1,22)</f>
        <v/>
      </c>
      <c r="F6" s="13" t="n">
        <v>47</v>
      </c>
      <c r="G6" s="13" t="inlineStr">
        <is>
          <t>Active</t>
        </is>
      </c>
    </row>
    <row r="7">
      <c r="A7" s="8" t="inlineStr">
        <is>
          <t>CMP-03</t>
        </is>
      </c>
      <c r="B7" s="9" t="inlineStr">
        <is>
          <t>MTN Retentions</t>
        </is>
      </c>
      <c r="C7" s="9" t="inlineStr">
        <is>
          <t>MTN</t>
        </is>
      </c>
      <c r="D7" s="9" t="inlineStr">
        <is>
          <t>Retentions</t>
        </is>
      </c>
      <c r="E7" s="23">
        <f>DATE(2025,4,10)</f>
        <v/>
      </c>
      <c r="F7" s="8" t="n">
        <v>56</v>
      </c>
      <c r="G7" s="8" t="inlineStr">
        <is>
          <t>Ramp-up</t>
        </is>
      </c>
    </row>
    <row r="8">
      <c r="A8" s="13" t="inlineStr">
        <is>
          <t>CMP-04</t>
        </is>
      </c>
      <c r="B8" s="14" t="inlineStr">
        <is>
          <t>Takealot Care</t>
        </is>
      </c>
      <c r="C8" s="14" t="inlineStr">
        <is>
          <t>Takealot</t>
        </is>
      </c>
      <c r="D8" s="14" t="inlineStr">
        <is>
          <t>Customer Care</t>
        </is>
      </c>
      <c r="E8" s="24">
        <f>DATE(2025,4,11)</f>
        <v/>
      </c>
      <c r="F8" s="13" t="n">
        <v>62</v>
      </c>
      <c r="G8" s="13" t="inlineStr">
        <is>
          <t>Ramp-up</t>
        </is>
      </c>
    </row>
    <row r="9">
      <c r="A9" s="8" t="inlineStr">
        <is>
          <t>CMP-05</t>
        </is>
      </c>
      <c r="B9" s="9" t="inlineStr">
        <is>
          <t>Telkom Tech Support</t>
        </is>
      </c>
      <c r="C9" s="9" t="inlineStr">
        <is>
          <t>Telkom</t>
        </is>
      </c>
      <c r="D9" s="9" t="inlineStr">
        <is>
          <t>Tech Support</t>
        </is>
      </c>
      <c r="E9" s="23">
        <f>DATE(2025,5,7)</f>
        <v/>
      </c>
      <c r="F9" s="8" t="n">
        <v>22</v>
      </c>
      <c r="G9" s="8" t="inlineStr">
        <is>
          <t>Active</t>
        </is>
      </c>
    </row>
    <row r="10">
      <c r="A10" s="13" t="inlineStr">
        <is>
          <t>CMP-06</t>
        </is>
      </c>
      <c r="B10" s="14" t="inlineStr">
        <is>
          <t>Nedbank Debt Review</t>
        </is>
      </c>
      <c r="C10" s="14" t="inlineStr">
        <is>
          <t>Nedbank</t>
        </is>
      </c>
      <c r="D10" s="14" t="inlineStr">
        <is>
          <t>Collections</t>
        </is>
      </c>
      <c r="E10" s="24">
        <f>DATE(2025,8,25)</f>
        <v/>
      </c>
      <c r="F10" s="13" t="n">
        <v>23</v>
      </c>
      <c r="G10" s="13" t="inlineStr">
        <is>
          <t>Active</t>
        </is>
      </c>
    </row>
    <row r="11">
      <c r="A11" s="8" t="inlineStr">
        <is>
          <t>CMP-07</t>
        </is>
      </c>
      <c r="B11" s="9" t="inlineStr">
        <is>
          <t>DStv Upsell</t>
        </is>
      </c>
      <c r="C11" s="9" t="inlineStr">
        <is>
          <t>MultiChoice</t>
        </is>
      </c>
      <c r="D11" s="9" t="inlineStr">
        <is>
          <t>Sales</t>
        </is>
      </c>
      <c r="E11" s="23">
        <f>DATE(2025,8,26)</f>
        <v/>
      </c>
      <c r="F11" s="8" t="n">
        <v>30</v>
      </c>
      <c r="G11" s="8" t="inlineStr">
        <is>
          <t>Active</t>
        </is>
      </c>
    </row>
    <row r="12">
      <c r="A12" s="13" t="inlineStr">
        <is>
          <t>CMP-08</t>
        </is>
      </c>
      <c r="B12" s="14" t="inlineStr">
        <is>
          <t>Discovery Lead Gen</t>
        </is>
      </c>
      <c r="C12" s="14" t="inlineStr">
        <is>
          <t>Discovery</t>
        </is>
      </c>
      <c r="D12" s="14" t="inlineStr">
        <is>
          <t>Lead Gen</t>
        </is>
      </c>
      <c r="E12" s="24">
        <f>DATE(2025,7,14)</f>
        <v/>
      </c>
      <c r="F12" s="13" t="n">
        <v>33</v>
      </c>
      <c r="G12" s="13" t="inlineStr">
        <is>
          <t>Active</t>
        </is>
      </c>
    </row>
    <row r="13">
      <c r="A13" s="8" t="inlineStr">
        <is>
          <t>CMP-09</t>
        </is>
      </c>
      <c r="B13" s="9" t="inlineStr">
        <is>
          <t>Cell C Winback</t>
        </is>
      </c>
      <c r="C13" s="9" t="inlineStr">
        <is>
          <t>Cell C</t>
        </is>
      </c>
      <c r="D13" s="9" t="inlineStr">
        <is>
          <t>Retentions</t>
        </is>
      </c>
      <c r="E13" s="23">
        <f>DATE(2025,7,15)</f>
        <v/>
      </c>
      <c r="F13" s="8" t="n">
        <v>22</v>
      </c>
      <c r="G13" s="8" t="inlineStr">
        <is>
          <t>Active</t>
        </is>
      </c>
    </row>
    <row r="14">
      <c r="A14" s="13" t="inlineStr">
        <is>
          <t>CMP-10</t>
        </is>
      </c>
      <c r="B14" s="14" t="inlineStr">
        <is>
          <t>OUTsurance Sales</t>
        </is>
      </c>
      <c r="C14" s="14" t="inlineStr">
        <is>
          <t>OUTsurance</t>
        </is>
      </c>
      <c r="D14" s="14" t="inlineStr">
        <is>
          <t>Sales</t>
        </is>
      </c>
      <c r="E14" s="24">
        <f>DATE(2025,2,21)</f>
        <v/>
      </c>
      <c r="F14" s="13" t="n">
        <v>31</v>
      </c>
      <c r="G14" s="13" t="inlineStr">
        <is>
          <t>Active</t>
        </is>
      </c>
    </row>
    <row r="15">
      <c r="A15" s="8" t="inlineStr">
        <is>
          <t>CMP-11</t>
        </is>
      </c>
      <c r="B15" s="9" t="inlineStr">
        <is>
          <t>Standard Bank Helpdesk</t>
        </is>
      </c>
      <c r="C15" s="9" t="inlineStr">
        <is>
          <t>Standard Bank</t>
        </is>
      </c>
      <c r="D15" s="9" t="inlineStr">
        <is>
          <t>Customer Care</t>
        </is>
      </c>
      <c r="E15" s="23">
        <f>DATE(2025,5,13)</f>
        <v/>
      </c>
      <c r="F15" s="8" t="n">
        <v>60</v>
      </c>
      <c r="G15" s="8" t="inlineStr">
        <is>
          <t>Ramp-up</t>
        </is>
      </c>
    </row>
    <row r="16">
      <c r="A16" s="13" t="inlineStr">
        <is>
          <t>CMP-12</t>
        </is>
      </c>
      <c r="B16" s="14" t="inlineStr">
        <is>
          <t>Shoprite Surveys</t>
        </is>
      </c>
      <c r="C16" s="14" t="inlineStr">
        <is>
          <t>Shoprite</t>
        </is>
      </c>
      <c r="D16" s="14" t="inlineStr">
        <is>
          <t>Lead Gen</t>
        </is>
      </c>
      <c r="E16" s="24">
        <f>DATE(2025,7,3)</f>
        <v/>
      </c>
      <c r="F16" s="13" t="n">
        <v>32</v>
      </c>
      <c r="G16" s="13" t="inlineStr">
        <is>
          <t>Ramp-up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6" customWidth="1" min="3" max="3"/>
    <col width="13" customWidth="1" min="4" max="4"/>
    <col width="12" customWidth="1" min="5" max="5"/>
    <col width="12" customWidth="1" min="6" max="6"/>
    <col width="12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1" t="inlineStr">
        <is>
          <t>Monthly Cost Ledger by Campaign (ZAR)</t>
        </is>
      </c>
    </row>
    <row r="2">
      <c r="A2" s="2" t="inlineStr">
        <is>
          <t>Fully-loaded cost stack — labour, telephony, technology, facilities, training, overhead</t>
        </is>
      </c>
    </row>
    <row r="4" ht="30" customHeight="1">
      <c r="A4" s="7" t="inlineStr">
        <is>
          <t>Campaign</t>
        </is>
      </c>
      <c r="B4" s="7" t="inlineStr">
        <is>
          <t>Month</t>
        </is>
      </c>
      <c r="C4" s="7" t="inlineStr">
        <is>
          <t>FTE</t>
        </is>
      </c>
      <c r="D4" s="7" t="inlineStr">
        <is>
          <t>Labour</t>
        </is>
      </c>
      <c r="E4" s="7" t="inlineStr">
        <is>
          <t>Telephony</t>
        </is>
      </c>
      <c r="F4" s="7" t="inlineStr">
        <is>
          <t>Technology</t>
        </is>
      </c>
      <c r="G4" s="7" t="inlineStr">
        <is>
          <t>Facilities</t>
        </is>
      </c>
      <c r="H4" s="7" t="inlineStr">
        <is>
          <t>Training</t>
        </is>
      </c>
      <c r="I4" s="7" t="inlineStr">
        <is>
          <t>Overhead</t>
        </is>
      </c>
      <c r="J4" s="7" t="inlineStr">
        <is>
          <t>Total Cost</t>
        </is>
      </c>
    </row>
    <row r="5">
      <c r="A5" s="9" t="inlineStr">
        <is>
          <t>Vodacom Upgrades</t>
        </is>
      </c>
      <c r="B5" s="8" t="inlineStr">
        <is>
          <t>Feb-26</t>
        </is>
      </c>
      <c r="C5" s="8" t="n">
        <v>57</v>
      </c>
      <c r="D5" s="10" t="n">
        <v>1252803</v>
      </c>
      <c r="E5" s="10" t="n">
        <v>117192</v>
      </c>
      <c r="F5" s="10" t="n">
        <v>40242</v>
      </c>
      <c r="G5" s="10" t="n">
        <v>78375</v>
      </c>
      <c r="H5" s="10" t="n">
        <v>11100</v>
      </c>
      <c r="I5" s="10" t="n">
        <v>166880</v>
      </c>
      <c r="J5" s="10">
        <f>SUM(D5:I5)</f>
        <v/>
      </c>
    </row>
    <row r="6">
      <c r="A6" s="14" t="inlineStr">
        <is>
          <t>Vodacom Upgrades</t>
        </is>
      </c>
      <c r="B6" s="13" t="inlineStr">
        <is>
          <t>Mar-26</t>
        </is>
      </c>
      <c r="C6" s="13" t="n">
        <v>54</v>
      </c>
      <c r="D6" s="15" t="n">
        <v>900666</v>
      </c>
      <c r="E6" s="15" t="n">
        <v>105786</v>
      </c>
      <c r="F6" s="15" t="n">
        <v>57672</v>
      </c>
      <c r="G6" s="15" t="n">
        <v>49086</v>
      </c>
      <c r="H6" s="15" t="n">
        <v>12587</v>
      </c>
      <c r="I6" s="15" t="n">
        <v>126755</v>
      </c>
      <c r="J6" s="15">
        <f>SUM(D6:I6)</f>
        <v/>
      </c>
    </row>
    <row r="7">
      <c r="A7" s="9" t="inlineStr">
        <is>
          <t>Vodacom Upgrades</t>
        </is>
      </c>
      <c r="B7" s="8" t="inlineStr">
        <is>
          <t>Apr-26</t>
        </is>
      </c>
      <c r="C7" s="8" t="n">
        <v>53</v>
      </c>
      <c r="D7" s="10" t="n">
        <v>889499</v>
      </c>
      <c r="E7" s="10" t="n">
        <v>110452</v>
      </c>
      <c r="F7" s="10" t="n">
        <v>46905</v>
      </c>
      <c r="G7" s="10" t="n">
        <v>62752</v>
      </c>
      <c r="H7" s="10" t="n">
        <v>6154</v>
      </c>
      <c r="I7" s="10" t="n">
        <v>139606</v>
      </c>
      <c r="J7" s="10">
        <f>SUM(D7:I7)</f>
        <v/>
      </c>
    </row>
    <row r="8">
      <c r="A8" s="14" t="inlineStr">
        <is>
          <t>Vodacom Upgrades</t>
        </is>
      </c>
      <c r="B8" s="13" t="inlineStr">
        <is>
          <t>May-26</t>
        </is>
      </c>
      <c r="C8" s="13" t="n">
        <v>55</v>
      </c>
      <c r="D8" s="15" t="n">
        <v>1070905</v>
      </c>
      <c r="E8" s="15" t="n">
        <v>139480</v>
      </c>
      <c r="F8" s="15" t="n">
        <v>70510</v>
      </c>
      <c r="G8" s="15" t="n">
        <v>76230</v>
      </c>
      <c r="H8" s="15" t="n">
        <v>9450</v>
      </c>
      <c r="I8" s="15" t="n">
        <v>149157</v>
      </c>
      <c r="J8" s="15">
        <f>SUM(D8:I8)</f>
        <v/>
      </c>
    </row>
    <row r="9">
      <c r="A9" s="9" t="inlineStr">
        <is>
          <t>Vodacom Upgrades</t>
        </is>
      </c>
      <c r="B9" s="8" t="inlineStr">
        <is>
          <t>Jun-26</t>
        </is>
      </c>
      <c r="C9" s="8" t="n">
        <v>56</v>
      </c>
      <c r="D9" s="10" t="n">
        <v>1066800</v>
      </c>
      <c r="E9" s="10" t="n">
        <v>87976</v>
      </c>
      <c r="F9" s="10" t="n">
        <v>69608</v>
      </c>
      <c r="G9" s="10" t="n">
        <v>89544</v>
      </c>
      <c r="H9" s="10" t="n">
        <v>4194</v>
      </c>
      <c r="I9" s="10" t="n">
        <v>180298</v>
      </c>
      <c r="J9" s="10">
        <f>SUM(D9:I9)</f>
        <v/>
      </c>
    </row>
    <row r="10">
      <c r="A10" s="14" t="inlineStr">
        <is>
          <t>Vodacom Upgrades</t>
        </is>
      </c>
      <c r="B10" s="13" t="inlineStr">
        <is>
          <t>Jul-26</t>
        </is>
      </c>
      <c r="C10" s="13" t="n">
        <v>52</v>
      </c>
      <c r="D10" s="15" t="n">
        <v>871624</v>
      </c>
      <c r="E10" s="15" t="n">
        <v>123656</v>
      </c>
      <c r="F10" s="15" t="n">
        <v>54808</v>
      </c>
      <c r="G10" s="15" t="n">
        <v>75244</v>
      </c>
      <c r="H10" s="15" t="n">
        <v>18492</v>
      </c>
      <c r="I10" s="15" t="n">
        <v>146647</v>
      </c>
      <c r="J10" s="15">
        <f>SUM(D10:I10)</f>
        <v/>
      </c>
    </row>
    <row r="11">
      <c r="A11" s="9" t="inlineStr">
        <is>
          <t>ABSA Collections</t>
        </is>
      </c>
      <c r="B11" s="8" t="inlineStr">
        <is>
          <t>Feb-26</t>
        </is>
      </c>
      <c r="C11" s="8" t="n">
        <v>44</v>
      </c>
      <c r="D11" s="10" t="n">
        <v>945824</v>
      </c>
      <c r="E11" s="10" t="n">
        <v>107316</v>
      </c>
      <c r="F11" s="10" t="n">
        <v>51524</v>
      </c>
      <c r="G11" s="10" t="n">
        <v>68288</v>
      </c>
      <c r="H11" s="10" t="n">
        <v>8597</v>
      </c>
      <c r="I11" s="10" t="n">
        <v>142098</v>
      </c>
      <c r="J11" s="10">
        <f>SUM(D11:I11)</f>
        <v/>
      </c>
    </row>
    <row r="12">
      <c r="A12" s="14" t="inlineStr">
        <is>
          <t>ABSA Collections</t>
        </is>
      </c>
      <c r="B12" s="13" t="inlineStr">
        <is>
          <t>Mar-26</t>
        </is>
      </c>
      <c r="C12" s="13" t="n">
        <v>50</v>
      </c>
      <c r="D12" s="15" t="n">
        <v>907250</v>
      </c>
      <c r="E12" s="15" t="n">
        <v>116000</v>
      </c>
      <c r="F12" s="15" t="n">
        <v>57850</v>
      </c>
      <c r="G12" s="15" t="n">
        <v>52100</v>
      </c>
      <c r="H12" s="15" t="n">
        <v>6661</v>
      </c>
      <c r="I12" s="15" t="n">
        <v>155732</v>
      </c>
      <c r="J12" s="15">
        <f>SUM(D12:I12)</f>
        <v/>
      </c>
    </row>
    <row r="13">
      <c r="A13" s="9" t="inlineStr">
        <is>
          <t>ABSA Collections</t>
        </is>
      </c>
      <c r="B13" s="8" t="inlineStr">
        <is>
          <t>Apr-26</t>
        </is>
      </c>
      <c r="C13" s="8" t="n">
        <v>46</v>
      </c>
      <c r="D13" s="10" t="n">
        <v>886190</v>
      </c>
      <c r="E13" s="10" t="n">
        <v>90528</v>
      </c>
      <c r="F13" s="10" t="n">
        <v>35374</v>
      </c>
      <c r="G13" s="10" t="n">
        <v>44206</v>
      </c>
      <c r="H13" s="10" t="n">
        <v>21974</v>
      </c>
      <c r="I13" s="10" t="n">
        <v>119382</v>
      </c>
      <c r="J13" s="10">
        <f>SUM(D13:I13)</f>
        <v/>
      </c>
    </row>
    <row r="14">
      <c r="A14" s="14" t="inlineStr">
        <is>
          <t>ABSA Collections</t>
        </is>
      </c>
      <c r="B14" s="13" t="inlineStr">
        <is>
          <t>May-26</t>
        </is>
      </c>
      <c r="C14" s="13" t="n">
        <v>46</v>
      </c>
      <c r="D14" s="15" t="n">
        <v>933478</v>
      </c>
      <c r="E14" s="15" t="n">
        <v>60582</v>
      </c>
      <c r="F14" s="15" t="n">
        <v>41262</v>
      </c>
      <c r="G14" s="15" t="n">
        <v>54510</v>
      </c>
      <c r="H14" s="15" t="n">
        <v>14733</v>
      </c>
      <c r="I14" s="15" t="n">
        <v>93112</v>
      </c>
      <c r="J14" s="15">
        <f>SUM(D14:I14)</f>
        <v/>
      </c>
    </row>
    <row r="15">
      <c r="A15" s="9" t="inlineStr">
        <is>
          <t>ABSA Collections</t>
        </is>
      </c>
      <c r="B15" s="8" t="inlineStr">
        <is>
          <t>Jun-26</t>
        </is>
      </c>
      <c r="C15" s="8" t="n">
        <v>45</v>
      </c>
      <c r="D15" s="10" t="n">
        <v>834660</v>
      </c>
      <c r="E15" s="10" t="n">
        <v>96930</v>
      </c>
      <c r="F15" s="10" t="n">
        <v>40905</v>
      </c>
      <c r="G15" s="10" t="n">
        <v>60075</v>
      </c>
      <c r="H15" s="10" t="n">
        <v>7676</v>
      </c>
      <c r="I15" s="10" t="n">
        <v>115093</v>
      </c>
      <c r="J15" s="10">
        <f>SUM(D15:I15)</f>
        <v/>
      </c>
    </row>
    <row r="16">
      <c r="A16" s="14" t="inlineStr">
        <is>
          <t>ABSA Collections</t>
        </is>
      </c>
      <c r="B16" s="13" t="inlineStr">
        <is>
          <t>Jul-26</t>
        </is>
      </c>
      <c r="C16" s="13" t="n">
        <v>50</v>
      </c>
      <c r="D16" s="15" t="n">
        <v>955700</v>
      </c>
      <c r="E16" s="15" t="n">
        <v>85000</v>
      </c>
      <c r="F16" s="15" t="n">
        <v>39850</v>
      </c>
      <c r="G16" s="15" t="n">
        <v>59350</v>
      </c>
      <c r="H16" s="15" t="n">
        <v>25407</v>
      </c>
      <c r="I16" s="15" t="n">
        <v>158027</v>
      </c>
      <c r="J16" s="15">
        <f>SUM(D16:I16)</f>
        <v/>
      </c>
    </row>
    <row r="17">
      <c r="A17" s="9" t="inlineStr">
        <is>
          <t>MTN Retentions</t>
        </is>
      </c>
      <c r="B17" s="8" t="inlineStr">
        <is>
          <t>Feb-26</t>
        </is>
      </c>
      <c r="C17" s="8" t="n">
        <v>54</v>
      </c>
      <c r="D17" s="10" t="n">
        <v>896346</v>
      </c>
      <c r="E17" s="10" t="n">
        <v>66312</v>
      </c>
      <c r="F17" s="10" t="n">
        <v>72792</v>
      </c>
      <c r="G17" s="10" t="n">
        <v>70416</v>
      </c>
      <c r="H17" s="10" t="n">
        <v>24086</v>
      </c>
      <c r="I17" s="10" t="n">
        <v>118912</v>
      </c>
      <c r="J17" s="10">
        <f>SUM(D17:I17)</f>
        <v/>
      </c>
    </row>
    <row r="18">
      <c r="A18" s="14" t="inlineStr">
        <is>
          <t>MTN Retentions</t>
        </is>
      </c>
      <c r="B18" s="13" t="inlineStr">
        <is>
          <t>Mar-26</t>
        </is>
      </c>
      <c r="C18" s="13" t="n">
        <v>57</v>
      </c>
      <c r="D18" s="15" t="n">
        <v>961248</v>
      </c>
      <c r="E18" s="15" t="n">
        <v>107673</v>
      </c>
      <c r="F18" s="15" t="n">
        <v>53808</v>
      </c>
      <c r="G18" s="15" t="n">
        <v>67203</v>
      </c>
      <c r="H18" s="15" t="n">
        <v>19442</v>
      </c>
      <c r="I18" s="15" t="n">
        <v>142345</v>
      </c>
      <c r="J18" s="15">
        <f>SUM(D18:I18)</f>
        <v/>
      </c>
    </row>
    <row r="19">
      <c r="A19" s="9" t="inlineStr">
        <is>
          <t>MTN Retentions</t>
        </is>
      </c>
      <c r="B19" s="8" t="inlineStr">
        <is>
          <t>Apr-26</t>
        </is>
      </c>
      <c r="C19" s="8" t="n">
        <v>57</v>
      </c>
      <c r="D19" s="10" t="n">
        <v>1217406</v>
      </c>
      <c r="E19" s="10" t="n">
        <v>130872</v>
      </c>
      <c r="F19" s="10" t="n">
        <v>58254</v>
      </c>
      <c r="G19" s="10" t="n">
        <v>70794</v>
      </c>
      <c r="H19" s="10" t="n">
        <v>4606</v>
      </c>
      <c r="I19" s="10" t="n">
        <v>201239</v>
      </c>
      <c r="J19" s="10">
        <f>SUM(D19:I19)</f>
        <v/>
      </c>
    </row>
    <row r="20">
      <c r="A20" s="14" t="inlineStr">
        <is>
          <t>MTN Retentions</t>
        </is>
      </c>
      <c r="B20" s="13" t="inlineStr">
        <is>
          <t>May-26</t>
        </is>
      </c>
      <c r="C20" s="13" t="n">
        <v>55</v>
      </c>
      <c r="D20" s="15" t="n">
        <v>1063150</v>
      </c>
      <c r="E20" s="15" t="n">
        <v>142450</v>
      </c>
      <c r="F20" s="15" t="n">
        <v>59015</v>
      </c>
      <c r="G20" s="15" t="n">
        <v>72160</v>
      </c>
      <c r="H20" s="15" t="n">
        <v>17133</v>
      </c>
      <c r="I20" s="15" t="n">
        <v>158142</v>
      </c>
      <c r="J20" s="15">
        <f>SUM(D20:I20)</f>
        <v/>
      </c>
    </row>
    <row r="21">
      <c r="A21" s="9" t="inlineStr">
        <is>
          <t>MTN Retentions</t>
        </is>
      </c>
      <c r="B21" s="8" t="inlineStr">
        <is>
          <t>Jun-26</t>
        </is>
      </c>
      <c r="C21" s="8" t="n">
        <v>58</v>
      </c>
      <c r="D21" s="10" t="n">
        <v>1061690</v>
      </c>
      <c r="E21" s="10" t="n">
        <v>130906</v>
      </c>
      <c r="F21" s="10" t="n">
        <v>44486</v>
      </c>
      <c r="G21" s="10" t="n">
        <v>65018</v>
      </c>
      <c r="H21" s="10" t="n">
        <v>8853</v>
      </c>
      <c r="I21" s="10" t="n">
        <v>156115</v>
      </c>
      <c r="J21" s="10">
        <f>SUM(D21:I21)</f>
        <v/>
      </c>
    </row>
    <row r="22">
      <c r="A22" s="14" t="inlineStr">
        <is>
          <t>MTN Retentions</t>
        </is>
      </c>
      <c r="B22" s="13" t="inlineStr">
        <is>
          <t>Jul-26</t>
        </is>
      </c>
      <c r="C22" s="13" t="n">
        <v>54</v>
      </c>
      <c r="D22" s="15" t="n">
        <v>1042470</v>
      </c>
      <c r="E22" s="15" t="n">
        <v>78192</v>
      </c>
      <c r="F22" s="15" t="n">
        <v>58212</v>
      </c>
      <c r="G22" s="15" t="n">
        <v>49896</v>
      </c>
      <c r="H22" s="15" t="n">
        <v>18659</v>
      </c>
      <c r="I22" s="15" t="n">
        <v>161719</v>
      </c>
      <c r="J22" s="15">
        <f>SUM(D22:I22)</f>
        <v/>
      </c>
    </row>
    <row r="23">
      <c r="A23" s="9" t="inlineStr">
        <is>
          <t>Takealot Care</t>
        </is>
      </c>
      <c r="B23" s="8" t="inlineStr">
        <is>
          <t>Feb-26</t>
        </is>
      </c>
      <c r="C23" s="8" t="n">
        <v>60</v>
      </c>
      <c r="D23" s="10" t="n">
        <v>1319940</v>
      </c>
      <c r="E23" s="10" t="n">
        <v>116760</v>
      </c>
      <c r="F23" s="10" t="n">
        <v>73500</v>
      </c>
      <c r="G23" s="10" t="n">
        <v>94680</v>
      </c>
      <c r="H23" s="10" t="n">
        <v>24526</v>
      </c>
      <c r="I23" s="10" t="n">
        <v>181332</v>
      </c>
      <c r="J23" s="10">
        <f>SUM(D23:I23)</f>
        <v/>
      </c>
    </row>
    <row r="24">
      <c r="A24" s="14" t="inlineStr">
        <is>
          <t>Takealot Care</t>
        </is>
      </c>
      <c r="B24" s="13" t="inlineStr">
        <is>
          <t>Mar-26</t>
        </is>
      </c>
      <c r="C24" s="13" t="n">
        <v>60</v>
      </c>
      <c r="D24" s="15" t="n">
        <v>1215300</v>
      </c>
      <c r="E24" s="15" t="n">
        <v>139020</v>
      </c>
      <c r="F24" s="15" t="n">
        <v>76140</v>
      </c>
      <c r="G24" s="15" t="n">
        <v>73500</v>
      </c>
      <c r="H24" s="15" t="n">
        <v>13837</v>
      </c>
      <c r="I24" s="15" t="n">
        <v>181308</v>
      </c>
      <c r="J24" s="15">
        <f>SUM(D24:I24)</f>
        <v/>
      </c>
    </row>
    <row r="25">
      <c r="A25" s="9" t="inlineStr">
        <is>
          <t>Takealot Care</t>
        </is>
      </c>
      <c r="B25" s="8" t="inlineStr">
        <is>
          <t>Apr-26</t>
        </is>
      </c>
      <c r="C25" s="8" t="n">
        <v>64</v>
      </c>
      <c r="D25" s="10" t="n">
        <v>1189952</v>
      </c>
      <c r="E25" s="10" t="n">
        <v>108288</v>
      </c>
      <c r="F25" s="10" t="n">
        <v>73280</v>
      </c>
      <c r="G25" s="10" t="n">
        <v>70912</v>
      </c>
      <c r="H25" s="10" t="n">
        <v>18906</v>
      </c>
      <c r="I25" s="10" t="n">
        <v>199704</v>
      </c>
      <c r="J25" s="10">
        <f>SUM(D25:I25)</f>
        <v/>
      </c>
    </row>
    <row r="26">
      <c r="A26" s="14" t="inlineStr">
        <is>
          <t>Takealot Care</t>
        </is>
      </c>
      <c r="B26" s="13" t="inlineStr">
        <is>
          <t>May-26</t>
        </is>
      </c>
      <c r="C26" s="13" t="n">
        <v>65</v>
      </c>
      <c r="D26" s="15" t="n">
        <v>1094015</v>
      </c>
      <c r="E26" s="15" t="n">
        <v>110695</v>
      </c>
      <c r="F26" s="15" t="n">
        <v>48750</v>
      </c>
      <c r="G26" s="15" t="n">
        <v>96980</v>
      </c>
      <c r="H26" s="15" t="n">
        <v>15226</v>
      </c>
      <c r="I26" s="15" t="n">
        <v>167989</v>
      </c>
      <c r="J26" s="15">
        <f>SUM(D26:I26)</f>
        <v/>
      </c>
    </row>
    <row r="27">
      <c r="A27" s="9" t="inlineStr">
        <is>
          <t>Takealot Care</t>
        </is>
      </c>
      <c r="B27" s="8" t="inlineStr">
        <is>
          <t>Jun-26</t>
        </is>
      </c>
      <c r="C27" s="8" t="n">
        <v>62</v>
      </c>
      <c r="D27" s="10" t="n">
        <v>1245704</v>
      </c>
      <c r="E27" s="10" t="n">
        <v>159030</v>
      </c>
      <c r="F27" s="10" t="n">
        <v>46624</v>
      </c>
      <c r="G27" s="10" t="n">
        <v>72850</v>
      </c>
      <c r="H27" s="10" t="n">
        <v>22112</v>
      </c>
      <c r="I27" s="10" t="n">
        <v>186902</v>
      </c>
      <c r="J27" s="10">
        <f>SUM(D27:I27)</f>
        <v/>
      </c>
    </row>
    <row r="28">
      <c r="A28" s="14" t="inlineStr">
        <is>
          <t>Takealot Care</t>
        </is>
      </c>
      <c r="B28" s="13" t="inlineStr">
        <is>
          <t>Jul-26</t>
        </is>
      </c>
      <c r="C28" s="13" t="n">
        <v>59</v>
      </c>
      <c r="D28" s="15" t="n">
        <v>1198290</v>
      </c>
      <c r="E28" s="15" t="n">
        <v>145494</v>
      </c>
      <c r="F28" s="15" t="n">
        <v>44781</v>
      </c>
      <c r="G28" s="15" t="n">
        <v>53867</v>
      </c>
      <c r="H28" s="15" t="n">
        <v>17494</v>
      </c>
      <c r="I28" s="15" t="n">
        <v>195662</v>
      </c>
      <c r="J28" s="15">
        <f>SUM(D28:I28)</f>
        <v/>
      </c>
    </row>
    <row r="29">
      <c r="A29" s="9" t="inlineStr">
        <is>
          <t>Telkom Tech Support</t>
        </is>
      </c>
      <c r="B29" s="8" t="inlineStr">
        <is>
          <t>Feb-26</t>
        </is>
      </c>
      <c r="C29" s="8" t="n">
        <v>24</v>
      </c>
      <c r="D29" s="10" t="n">
        <v>449880</v>
      </c>
      <c r="E29" s="10" t="n">
        <v>59088</v>
      </c>
      <c r="F29" s="10" t="n">
        <v>20304</v>
      </c>
      <c r="G29" s="10" t="n">
        <v>33576</v>
      </c>
      <c r="H29" s="10" t="n">
        <v>24833</v>
      </c>
      <c r="I29" s="10" t="n">
        <v>47107</v>
      </c>
      <c r="J29" s="10">
        <f>SUM(D29:I29)</f>
        <v/>
      </c>
    </row>
    <row r="30">
      <c r="A30" s="14" t="inlineStr">
        <is>
          <t>Telkom Tech Support</t>
        </is>
      </c>
      <c r="B30" s="13" t="inlineStr">
        <is>
          <t>Mar-26</t>
        </is>
      </c>
      <c r="C30" s="13" t="n">
        <v>24</v>
      </c>
      <c r="D30" s="15" t="n">
        <v>448272</v>
      </c>
      <c r="E30" s="15" t="n">
        <v>58488</v>
      </c>
      <c r="F30" s="15" t="n">
        <v>32472</v>
      </c>
      <c r="G30" s="15" t="n">
        <v>24576</v>
      </c>
      <c r="H30" s="15" t="n">
        <v>6821</v>
      </c>
      <c r="I30" s="15" t="n">
        <v>78144</v>
      </c>
      <c r="J30" s="15">
        <f>SUM(D30:I30)</f>
        <v/>
      </c>
    </row>
    <row r="31">
      <c r="A31" s="9" t="inlineStr">
        <is>
          <t>Telkom Tech Support</t>
        </is>
      </c>
      <c r="B31" s="8" t="inlineStr">
        <is>
          <t>Apr-26</t>
        </is>
      </c>
      <c r="C31" s="8" t="n">
        <v>25</v>
      </c>
      <c r="D31" s="10" t="n">
        <v>504600</v>
      </c>
      <c r="E31" s="10" t="n">
        <v>47350</v>
      </c>
      <c r="F31" s="10" t="n">
        <v>30800</v>
      </c>
      <c r="G31" s="10" t="n">
        <v>41175</v>
      </c>
      <c r="H31" s="10" t="n">
        <v>6377</v>
      </c>
      <c r="I31" s="10" t="n">
        <v>55409</v>
      </c>
      <c r="J31" s="10">
        <f>SUM(D31:I31)</f>
        <v/>
      </c>
    </row>
    <row r="32">
      <c r="A32" s="14" t="inlineStr">
        <is>
          <t>Telkom Tech Support</t>
        </is>
      </c>
      <c r="B32" s="13" t="inlineStr">
        <is>
          <t>May-26</t>
        </is>
      </c>
      <c r="C32" s="13" t="n">
        <v>24</v>
      </c>
      <c r="D32" s="15" t="n">
        <v>478008</v>
      </c>
      <c r="E32" s="15" t="n">
        <v>34128</v>
      </c>
      <c r="F32" s="15" t="n">
        <v>23304</v>
      </c>
      <c r="G32" s="15" t="n">
        <v>21744</v>
      </c>
      <c r="H32" s="15" t="n">
        <v>11815</v>
      </c>
      <c r="I32" s="15" t="n">
        <v>56509</v>
      </c>
      <c r="J32" s="15">
        <f>SUM(D32:I32)</f>
        <v/>
      </c>
    </row>
    <row r="33">
      <c r="A33" s="9" t="inlineStr">
        <is>
          <t>Telkom Tech Support</t>
        </is>
      </c>
      <c r="B33" s="8" t="inlineStr">
        <is>
          <t>Jun-26</t>
        </is>
      </c>
      <c r="C33" s="8" t="n">
        <v>24</v>
      </c>
      <c r="D33" s="10" t="n">
        <v>500520</v>
      </c>
      <c r="E33" s="10" t="n">
        <v>33504</v>
      </c>
      <c r="F33" s="10" t="n">
        <v>22488</v>
      </c>
      <c r="G33" s="10" t="n">
        <v>39624</v>
      </c>
      <c r="H33" s="10" t="n">
        <v>10300</v>
      </c>
      <c r="I33" s="10" t="n">
        <v>70984</v>
      </c>
      <c r="J33" s="10">
        <f>SUM(D33:I33)</f>
        <v/>
      </c>
    </row>
    <row r="34">
      <c r="A34" s="14" t="inlineStr">
        <is>
          <t>Telkom Tech Support</t>
        </is>
      </c>
      <c r="B34" s="13" t="inlineStr">
        <is>
          <t>Jul-26</t>
        </is>
      </c>
      <c r="C34" s="13" t="n">
        <v>20</v>
      </c>
      <c r="D34" s="15" t="n">
        <v>426220</v>
      </c>
      <c r="E34" s="15" t="n">
        <v>51220</v>
      </c>
      <c r="F34" s="15" t="n">
        <v>17920</v>
      </c>
      <c r="G34" s="15" t="n">
        <v>27180</v>
      </c>
      <c r="H34" s="15" t="n">
        <v>8488</v>
      </c>
      <c r="I34" s="15" t="n">
        <v>42988</v>
      </c>
      <c r="J34" s="15">
        <f>SUM(D34:I34)</f>
        <v/>
      </c>
    </row>
    <row r="35">
      <c r="A35" s="9" t="inlineStr">
        <is>
          <t>Nedbank Debt Review</t>
        </is>
      </c>
      <c r="B35" s="8" t="inlineStr">
        <is>
          <t>Feb-26</t>
        </is>
      </c>
      <c r="C35" s="8" t="n">
        <v>21</v>
      </c>
      <c r="D35" s="10" t="n">
        <v>435351</v>
      </c>
      <c r="E35" s="10" t="n">
        <v>54579</v>
      </c>
      <c r="F35" s="10" t="n">
        <v>25683</v>
      </c>
      <c r="G35" s="10" t="n">
        <v>23772</v>
      </c>
      <c r="H35" s="10" t="n">
        <v>7441</v>
      </c>
      <c r="I35" s="10" t="n">
        <v>62331</v>
      </c>
      <c r="J35" s="10">
        <f>SUM(D35:I35)</f>
        <v/>
      </c>
    </row>
    <row r="36">
      <c r="A36" s="14" t="inlineStr">
        <is>
          <t>Nedbank Debt Review</t>
        </is>
      </c>
      <c r="B36" s="13" t="inlineStr">
        <is>
          <t>Mar-26</t>
        </is>
      </c>
      <c r="C36" s="13" t="n">
        <v>20</v>
      </c>
      <c r="D36" s="15" t="n">
        <v>384540</v>
      </c>
      <c r="E36" s="15" t="n">
        <v>44820</v>
      </c>
      <c r="F36" s="15" t="n">
        <v>16620</v>
      </c>
      <c r="G36" s="15" t="n">
        <v>29800</v>
      </c>
      <c r="H36" s="15" t="n">
        <v>25619</v>
      </c>
      <c r="I36" s="15" t="n">
        <v>51793</v>
      </c>
      <c r="J36" s="15">
        <f>SUM(D36:I36)</f>
        <v/>
      </c>
    </row>
    <row r="37">
      <c r="A37" s="9" t="inlineStr">
        <is>
          <t>Nedbank Debt Review</t>
        </is>
      </c>
      <c r="B37" s="8" t="inlineStr">
        <is>
          <t>Apr-26</t>
        </is>
      </c>
      <c r="C37" s="8" t="n">
        <v>21</v>
      </c>
      <c r="D37" s="10" t="n">
        <v>365358</v>
      </c>
      <c r="E37" s="10" t="n">
        <v>29946</v>
      </c>
      <c r="F37" s="10" t="n">
        <v>15561</v>
      </c>
      <c r="G37" s="10" t="n">
        <v>28539</v>
      </c>
      <c r="H37" s="10" t="n">
        <v>24033</v>
      </c>
      <c r="I37" s="10" t="n">
        <v>50198</v>
      </c>
      <c r="J37" s="10">
        <f>SUM(D37:I37)</f>
        <v/>
      </c>
    </row>
    <row r="38">
      <c r="A38" s="14" t="inlineStr">
        <is>
          <t>Nedbank Debt Review</t>
        </is>
      </c>
      <c r="B38" s="13" t="inlineStr">
        <is>
          <t>May-26</t>
        </is>
      </c>
      <c r="C38" s="13" t="n">
        <v>26</v>
      </c>
      <c r="D38" s="15" t="n">
        <v>559598</v>
      </c>
      <c r="E38" s="15" t="n">
        <v>63258</v>
      </c>
      <c r="F38" s="15" t="n">
        <v>20618</v>
      </c>
      <c r="G38" s="15" t="n">
        <v>30706</v>
      </c>
      <c r="H38" s="15" t="n">
        <v>17202</v>
      </c>
      <c r="I38" s="15" t="n">
        <v>84429</v>
      </c>
      <c r="J38" s="15">
        <f>SUM(D38:I38)</f>
        <v/>
      </c>
    </row>
    <row r="39">
      <c r="A39" s="9" t="inlineStr">
        <is>
          <t>Nedbank Debt Review</t>
        </is>
      </c>
      <c r="B39" s="8" t="inlineStr">
        <is>
          <t>Jun-26</t>
        </is>
      </c>
      <c r="C39" s="8" t="n">
        <v>25</v>
      </c>
      <c r="D39" s="10" t="n">
        <v>424700</v>
      </c>
      <c r="E39" s="10" t="n">
        <v>35950</v>
      </c>
      <c r="F39" s="10" t="n">
        <v>24875</v>
      </c>
      <c r="G39" s="10" t="n">
        <v>40000</v>
      </c>
      <c r="H39" s="10" t="n">
        <v>21391</v>
      </c>
      <c r="I39" s="10" t="n">
        <v>43991</v>
      </c>
      <c r="J39" s="10">
        <f>SUM(D39:I39)</f>
        <v/>
      </c>
    </row>
    <row r="40">
      <c r="A40" s="14" t="inlineStr">
        <is>
          <t>Nedbank Debt Review</t>
        </is>
      </c>
      <c r="B40" s="13" t="inlineStr">
        <is>
          <t>Jul-26</t>
        </is>
      </c>
      <c r="C40" s="13" t="n">
        <v>20</v>
      </c>
      <c r="D40" s="15" t="n">
        <v>378680</v>
      </c>
      <c r="E40" s="15" t="n">
        <v>35800</v>
      </c>
      <c r="F40" s="15" t="n">
        <v>18800</v>
      </c>
      <c r="G40" s="15" t="n">
        <v>21380</v>
      </c>
      <c r="H40" s="15" t="n">
        <v>16727</v>
      </c>
      <c r="I40" s="15" t="n">
        <v>54262</v>
      </c>
      <c r="J40" s="15">
        <f>SUM(D40:I40)</f>
        <v/>
      </c>
    </row>
    <row r="41">
      <c r="A41" s="9" t="inlineStr">
        <is>
          <t>DStv Upsell</t>
        </is>
      </c>
      <c r="B41" s="8" t="inlineStr">
        <is>
          <t>Feb-26</t>
        </is>
      </c>
      <c r="C41" s="8" t="n">
        <v>30</v>
      </c>
      <c r="D41" s="10" t="n">
        <v>532200</v>
      </c>
      <c r="E41" s="10" t="n">
        <v>74910</v>
      </c>
      <c r="F41" s="10" t="n">
        <v>31200</v>
      </c>
      <c r="G41" s="10" t="n">
        <v>48390</v>
      </c>
      <c r="H41" s="10" t="n">
        <v>5062</v>
      </c>
      <c r="I41" s="10" t="n">
        <v>64830</v>
      </c>
      <c r="J41" s="10">
        <f>SUM(D41:I41)</f>
        <v/>
      </c>
    </row>
    <row r="42">
      <c r="A42" s="14" t="inlineStr">
        <is>
          <t>DStv Upsell</t>
        </is>
      </c>
      <c r="B42" s="13" t="inlineStr">
        <is>
          <t>Mar-26</t>
        </is>
      </c>
      <c r="C42" s="13" t="n">
        <v>30</v>
      </c>
      <c r="D42" s="15" t="n">
        <v>554340</v>
      </c>
      <c r="E42" s="15" t="n">
        <v>64830</v>
      </c>
      <c r="F42" s="15" t="n">
        <v>28470</v>
      </c>
      <c r="G42" s="15" t="n">
        <v>33150</v>
      </c>
      <c r="H42" s="15" t="n">
        <v>17368</v>
      </c>
      <c r="I42" s="15" t="n">
        <v>60638</v>
      </c>
      <c r="J42" s="15">
        <f>SUM(D42:I42)</f>
        <v/>
      </c>
    </row>
    <row r="43">
      <c r="A43" s="9" t="inlineStr">
        <is>
          <t>DStv Upsell</t>
        </is>
      </c>
      <c r="B43" s="8" t="inlineStr">
        <is>
          <t>Apr-26</t>
        </is>
      </c>
      <c r="C43" s="8" t="n">
        <v>28</v>
      </c>
      <c r="D43" s="10" t="n">
        <v>575652</v>
      </c>
      <c r="E43" s="10" t="n">
        <v>58772</v>
      </c>
      <c r="F43" s="10" t="n">
        <v>33544</v>
      </c>
      <c r="G43" s="10" t="n">
        <v>30744</v>
      </c>
      <c r="H43" s="10" t="n">
        <v>12970</v>
      </c>
      <c r="I43" s="10" t="n">
        <v>87663</v>
      </c>
      <c r="J43" s="10">
        <f>SUM(D43:I43)</f>
        <v/>
      </c>
    </row>
    <row r="44">
      <c r="A44" s="14" t="inlineStr">
        <is>
          <t>DStv Upsell</t>
        </is>
      </c>
      <c r="B44" s="13" t="inlineStr">
        <is>
          <t>May-26</t>
        </is>
      </c>
      <c r="C44" s="13" t="n">
        <v>33</v>
      </c>
      <c r="D44" s="15" t="n">
        <v>596079</v>
      </c>
      <c r="E44" s="15" t="n">
        <v>61842</v>
      </c>
      <c r="F44" s="15" t="n">
        <v>24387</v>
      </c>
      <c r="G44" s="15" t="n">
        <v>37257</v>
      </c>
      <c r="H44" s="15" t="n">
        <v>14214</v>
      </c>
      <c r="I44" s="15" t="n">
        <v>80261</v>
      </c>
      <c r="J44" s="15">
        <f>SUM(D44:I44)</f>
        <v/>
      </c>
    </row>
    <row r="45">
      <c r="A45" s="9" t="inlineStr">
        <is>
          <t>DStv Upsell</t>
        </is>
      </c>
      <c r="B45" s="8" t="inlineStr">
        <is>
          <t>Jun-26</t>
        </is>
      </c>
      <c r="C45" s="8" t="n">
        <v>27</v>
      </c>
      <c r="D45" s="10" t="n">
        <v>528471</v>
      </c>
      <c r="E45" s="10" t="n">
        <v>39501</v>
      </c>
      <c r="F45" s="10" t="n">
        <v>25920</v>
      </c>
      <c r="G45" s="10" t="n">
        <v>40662</v>
      </c>
      <c r="H45" s="10" t="n">
        <v>25699</v>
      </c>
      <c r="I45" s="10" t="n">
        <v>78283</v>
      </c>
      <c r="J45" s="10">
        <f>SUM(D45:I45)</f>
        <v/>
      </c>
    </row>
    <row r="46">
      <c r="A46" s="14" t="inlineStr">
        <is>
          <t>DStv Upsell</t>
        </is>
      </c>
      <c r="B46" s="13" t="inlineStr">
        <is>
          <t>Jul-26</t>
        </is>
      </c>
      <c r="C46" s="13" t="n">
        <v>32</v>
      </c>
      <c r="D46" s="15" t="n">
        <v>689664</v>
      </c>
      <c r="E46" s="15" t="n">
        <v>62592</v>
      </c>
      <c r="F46" s="15" t="n">
        <v>37408</v>
      </c>
      <c r="G46" s="15" t="n">
        <v>48992</v>
      </c>
      <c r="H46" s="15" t="n">
        <v>12644</v>
      </c>
      <c r="I46" s="15" t="n">
        <v>109856</v>
      </c>
      <c r="J46" s="15">
        <f>SUM(D46:I46)</f>
        <v/>
      </c>
    </row>
    <row r="47">
      <c r="A47" s="9" t="inlineStr">
        <is>
          <t>Discovery Lead Gen</t>
        </is>
      </c>
      <c r="B47" s="8" t="inlineStr">
        <is>
          <t>Feb-26</t>
        </is>
      </c>
      <c r="C47" s="8" t="n">
        <v>30</v>
      </c>
      <c r="D47" s="10" t="n">
        <v>606390</v>
      </c>
      <c r="E47" s="10" t="n">
        <v>77250</v>
      </c>
      <c r="F47" s="10" t="n">
        <v>30270</v>
      </c>
      <c r="G47" s="10" t="n">
        <v>29790</v>
      </c>
      <c r="H47" s="10" t="n">
        <v>9781</v>
      </c>
      <c r="I47" s="10" t="n">
        <v>89002</v>
      </c>
      <c r="J47" s="10">
        <f>SUM(D47:I47)</f>
        <v/>
      </c>
    </row>
    <row r="48">
      <c r="A48" s="14" t="inlineStr">
        <is>
          <t>Discovery Lead Gen</t>
        </is>
      </c>
      <c r="B48" s="13" t="inlineStr">
        <is>
          <t>Mar-26</t>
        </is>
      </c>
      <c r="C48" s="13" t="n">
        <v>32</v>
      </c>
      <c r="D48" s="15" t="n">
        <v>654432</v>
      </c>
      <c r="E48" s="15" t="n">
        <v>41312</v>
      </c>
      <c r="F48" s="15" t="n">
        <v>34976</v>
      </c>
      <c r="G48" s="15" t="n">
        <v>30208</v>
      </c>
      <c r="H48" s="15" t="n">
        <v>15599</v>
      </c>
      <c r="I48" s="15" t="n">
        <v>63462</v>
      </c>
      <c r="J48" s="15">
        <f>SUM(D48:I48)</f>
        <v/>
      </c>
    </row>
    <row r="49">
      <c r="A49" s="9" t="inlineStr">
        <is>
          <t>Discovery Lead Gen</t>
        </is>
      </c>
      <c r="B49" s="8" t="inlineStr">
        <is>
          <t>Apr-26</t>
        </is>
      </c>
      <c r="C49" s="8" t="n">
        <v>30</v>
      </c>
      <c r="D49" s="10" t="n">
        <v>588360</v>
      </c>
      <c r="E49" s="10" t="n">
        <v>43680</v>
      </c>
      <c r="F49" s="10" t="n">
        <v>36000</v>
      </c>
      <c r="G49" s="10" t="n">
        <v>39000</v>
      </c>
      <c r="H49" s="10" t="n">
        <v>7416</v>
      </c>
      <c r="I49" s="10" t="n">
        <v>95455</v>
      </c>
      <c r="J49" s="10">
        <f>SUM(D49:I49)</f>
        <v/>
      </c>
    </row>
    <row r="50">
      <c r="A50" s="14" t="inlineStr">
        <is>
          <t>Discovery Lead Gen</t>
        </is>
      </c>
      <c r="B50" s="13" t="inlineStr">
        <is>
          <t>May-26</t>
        </is>
      </c>
      <c r="C50" s="13" t="n">
        <v>31</v>
      </c>
      <c r="D50" s="15" t="n">
        <v>618357</v>
      </c>
      <c r="E50" s="15" t="n">
        <v>79143</v>
      </c>
      <c r="F50" s="15" t="n">
        <v>35588</v>
      </c>
      <c r="G50" s="15" t="n">
        <v>36456</v>
      </c>
      <c r="H50" s="15" t="n">
        <v>16089</v>
      </c>
      <c r="I50" s="15" t="n">
        <v>106390</v>
      </c>
      <c r="J50" s="15">
        <f>SUM(D50:I50)</f>
        <v/>
      </c>
    </row>
    <row r="51">
      <c r="A51" s="9" t="inlineStr">
        <is>
          <t>Discovery Lead Gen</t>
        </is>
      </c>
      <c r="B51" s="8" t="inlineStr">
        <is>
          <t>Jun-26</t>
        </is>
      </c>
      <c r="C51" s="8" t="n">
        <v>35</v>
      </c>
      <c r="D51" s="10" t="n">
        <v>638995</v>
      </c>
      <c r="E51" s="10" t="n">
        <v>84700</v>
      </c>
      <c r="F51" s="10" t="n">
        <v>34685</v>
      </c>
      <c r="G51" s="10" t="n">
        <v>45710</v>
      </c>
      <c r="H51" s="10" t="n">
        <v>8524</v>
      </c>
      <c r="I51" s="10" t="n">
        <v>100890</v>
      </c>
      <c r="J51" s="10">
        <f>SUM(D51:I51)</f>
        <v/>
      </c>
    </row>
    <row r="52">
      <c r="A52" s="14" t="inlineStr">
        <is>
          <t>Discovery Lead Gen</t>
        </is>
      </c>
      <c r="B52" s="13" t="inlineStr">
        <is>
          <t>Jul-26</t>
        </is>
      </c>
      <c r="C52" s="13" t="n">
        <v>34</v>
      </c>
      <c r="D52" s="15" t="n">
        <v>745824</v>
      </c>
      <c r="E52" s="15" t="n">
        <v>74766</v>
      </c>
      <c r="F52" s="15" t="n">
        <v>34136</v>
      </c>
      <c r="G52" s="15" t="n">
        <v>38624</v>
      </c>
      <c r="H52" s="15" t="n">
        <v>17778</v>
      </c>
      <c r="I52" s="15" t="n">
        <v>118535</v>
      </c>
      <c r="J52" s="15">
        <f>SUM(D52:I52)</f>
        <v/>
      </c>
    </row>
    <row r="53">
      <c r="A53" s="9" t="inlineStr">
        <is>
          <t>Cell C Winback</t>
        </is>
      </c>
      <c r="B53" s="8" t="inlineStr">
        <is>
          <t>Feb-26</t>
        </is>
      </c>
      <c r="C53" s="8" t="n">
        <v>23</v>
      </c>
      <c r="D53" s="10" t="n">
        <v>388309</v>
      </c>
      <c r="E53" s="10" t="n">
        <v>30130</v>
      </c>
      <c r="F53" s="10" t="n">
        <v>28589</v>
      </c>
      <c r="G53" s="10" t="n">
        <v>23207</v>
      </c>
      <c r="H53" s="10" t="n">
        <v>4350</v>
      </c>
      <c r="I53" s="10" t="n">
        <v>58840</v>
      </c>
      <c r="J53" s="10">
        <f>SUM(D53:I53)</f>
        <v/>
      </c>
    </row>
    <row r="54">
      <c r="A54" s="14" t="inlineStr">
        <is>
          <t>Cell C Winback</t>
        </is>
      </c>
      <c r="B54" s="13" t="inlineStr">
        <is>
          <t>Mar-26</t>
        </is>
      </c>
      <c r="C54" s="13" t="n">
        <v>22</v>
      </c>
      <c r="D54" s="15" t="n">
        <v>414546</v>
      </c>
      <c r="E54" s="15" t="n">
        <v>46970</v>
      </c>
      <c r="F54" s="15" t="n">
        <v>29480</v>
      </c>
      <c r="G54" s="15" t="n">
        <v>28182</v>
      </c>
      <c r="H54" s="15" t="n">
        <v>24423</v>
      </c>
      <c r="I54" s="15" t="n">
        <v>50532</v>
      </c>
      <c r="J54" s="15">
        <f>SUM(D54:I54)</f>
        <v/>
      </c>
    </row>
    <row r="55">
      <c r="A55" s="9" t="inlineStr">
        <is>
          <t>Cell C Winback</t>
        </is>
      </c>
      <c r="B55" s="8" t="inlineStr">
        <is>
          <t>Apr-26</t>
        </is>
      </c>
      <c r="C55" s="8" t="n">
        <v>21</v>
      </c>
      <c r="D55" s="10" t="n">
        <v>429051</v>
      </c>
      <c r="E55" s="10" t="n">
        <v>35616</v>
      </c>
      <c r="F55" s="10" t="n">
        <v>17619</v>
      </c>
      <c r="G55" s="10" t="n">
        <v>35448</v>
      </c>
      <c r="H55" s="10" t="n">
        <v>18506</v>
      </c>
      <c r="I55" s="10" t="n">
        <v>64491</v>
      </c>
      <c r="J55" s="10">
        <f>SUM(D55:I55)</f>
        <v/>
      </c>
    </row>
    <row r="56">
      <c r="A56" s="14" t="inlineStr">
        <is>
          <t>Cell C Winback</t>
        </is>
      </c>
      <c r="B56" s="13" t="inlineStr">
        <is>
          <t>May-26</t>
        </is>
      </c>
      <c r="C56" s="13" t="n">
        <v>22</v>
      </c>
      <c r="D56" s="15" t="n">
        <v>381238</v>
      </c>
      <c r="E56" s="15" t="n">
        <v>54384</v>
      </c>
      <c r="F56" s="15" t="n">
        <v>26246</v>
      </c>
      <c r="G56" s="15" t="n">
        <v>21978</v>
      </c>
      <c r="H56" s="15" t="n">
        <v>21737</v>
      </c>
      <c r="I56" s="15" t="n">
        <v>40485</v>
      </c>
      <c r="J56" s="15">
        <f>SUM(D56:I56)</f>
        <v/>
      </c>
    </row>
    <row r="57">
      <c r="A57" s="9" t="inlineStr">
        <is>
          <t>Cell C Winback</t>
        </is>
      </c>
      <c r="B57" s="8" t="inlineStr">
        <is>
          <t>Jun-26</t>
        </is>
      </c>
      <c r="C57" s="8" t="n">
        <v>24</v>
      </c>
      <c r="D57" s="10" t="n">
        <v>485208</v>
      </c>
      <c r="E57" s="10" t="n">
        <v>42168</v>
      </c>
      <c r="F57" s="10" t="n">
        <v>25296</v>
      </c>
      <c r="G57" s="10" t="n">
        <v>30984</v>
      </c>
      <c r="H57" s="10" t="n">
        <v>9392</v>
      </c>
      <c r="I57" s="10" t="n">
        <v>73380</v>
      </c>
      <c r="J57" s="10">
        <f>SUM(D57:I57)</f>
        <v/>
      </c>
    </row>
    <row r="58">
      <c r="A58" s="14" t="inlineStr">
        <is>
          <t>Cell C Winback</t>
        </is>
      </c>
      <c r="B58" s="13" t="inlineStr">
        <is>
          <t>Jul-26</t>
        </is>
      </c>
      <c r="C58" s="13" t="n">
        <v>23</v>
      </c>
      <c r="D58" s="15" t="n">
        <v>423522</v>
      </c>
      <c r="E58" s="15" t="n">
        <v>52969</v>
      </c>
      <c r="F58" s="15" t="n">
        <v>28106</v>
      </c>
      <c r="G58" s="15" t="n">
        <v>38732</v>
      </c>
      <c r="H58" s="15" t="n">
        <v>17672</v>
      </c>
      <c r="I58" s="15" t="n">
        <v>67585</v>
      </c>
      <c r="J58" s="15">
        <f>SUM(D58:I58)</f>
        <v/>
      </c>
    </row>
    <row r="59">
      <c r="A59" s="9" t="inlineStr">
        <is>
          <t>OUTsurance Sales</t>
        </is>
      </c>
      <c r="B59" s="8" t="inlineStr">
        <is>
          <t>Feb-26</t>
        </is>
      </c>
      <c r="C59" s="8" t="n">
        <v>34</v>
      </c>
      <c r="D59" s="10" t="n">
        <v>609144</v>
      </c>
      <c r="E59" s="10" t="n">
        <v>44574</v>
      </c>
      <c r="F59" s="10" t="n">
        <v>36822</v>
      </c>
      <c r="G59" s="10" t="n">
        <v>56372</v>
      </c>
      <c r="H59" s="10" t="n">
        <v>23144</v>
      </c>
      <c r="I59" s="10" t="n">
        <v>64377</v>
      </c>
      <c r="J59" s="10">
        <f>SUM(D59:I59)</f>
        <v/>
      </c>
    </row>
    <row r="60">
      <c r="A60" s="14" t="inlineStr">
        <is>
          <t>OUTsurance Sales</t>
        </is>
      </c>
      <c r="B60" s="13" t="inlineStr">
        <is>
          <t>Mar-26</t>
        </is>
      </c>
      <c r="C60" s="13" t="n">
        <v>29</v>
      </c>
      <c r="D60" s="15" t="n">
        <v>539139</v>
      </c>
      <c r="E60" s="15" t="n">
        <v>44196</v>
      </c>
      <c r="F60" s="15" t="n">
        <v>35989</v>
      </c>
      <c r="G60" s="15" t="n">
        <v>29841</v>
      </c>
      <c r="H60" s="15" t="n">
        <v>22428</v>
      </c>
      <c r="I60" s="15" t="n">
        <v>80055</v>
      </c>
      <c r="J60" s="15">
        <f>SUM(D60:I60)</f>
        <v/>
      </c>
    </row>
    <row r="61">
      <c r="A61" s="9" t="inlineStr">
        <is>
          <t>OUTsurance Sales</t>
        </is>
      </c>
      <c r="B61" s="8" t="inlineStr">
        <is>
          <t>Apr-26</t>
        </is>
      </c>
      <c r="C61" s="8" t="n">
        <v>32</v>
      </c>
      <c r="D61" s="10" t="n">
        <v>676608</v>
      </c>
      <c r="E61" s="10" t="n">
        <v>76512</v>
      </c>
      <c r="F61" s="10" t="n">
        <v>44576</v>
      </c>
      <c r="G61" s="10" t="n">
        <v>36864</v>
      </c>
      <c r="H61" s="10" t="n">
        <v>22099</v>
      </c>
      <c r="I61" s="10" t="n">
        <v>94965</v>
      </c>
      <c r="J61" s="10">
        <f>SUM(D61:I61)</f>
        <v/>
      </c>
    </row>
    <row r="62">
      <c r="A62" s="14" t="inlineStr">
        <is>
          <t>OUTsurance Sales</t>
        </is>
      </c>
      <c r="B62" s="13" t="inlineStr">
        <is>
          <t>May-26</t>
        </is>
      </c>
      <c r="C62" s="13" t="n">
        <v>33</v>
      </c>
      <c r="D62" s="15" t="n">
        <v>568095</v>
      </c>
      <c r="E62" s="15" t="n">
        <v>52635</v>
      </c>
      <c r="F62" s="15" t="n">
        <v>27819</v>
      </c>
      <c r="G62" s="15" t="n">
        <v>31416</v>
      </c>
      <c r="H62" s="15" t="n">
        <v>22331</v>
      </c>
      <c r="I62" s="15" t="n">
        <v>62055</v>
      </c>
      <c r="J62" s="15">
        <f>SUM(D62:I62)</f>
        <v/>
      </c>
    </row>
    <row r="63">
      <c r="A63" s="9" t="inlineStr">
        <is>
          <t>OUTsurance Sales</t>
        </is>
      </c>
      <c r="B63" s="8" t="inlineStr">
        <is>
          <t>Jun-26</t>
        </is>
      </c>
      <c r="C63" s="8" t="n">
        <v>31</v>
      </c>
      <c r="D63" s="10" t="n">
        <v>541787</v>
      </c>
      <c r="E63" s="10" t="n">
        <v>75671</v>
      </c>
      <c r="F63" s="10" t="n">
        <v>26350</v>
      </c>
      <c r="G63" s="10" t="n">
        <v>43183</v>
      </c>
      <c r="H63" s="10" t="n">
        <v>20379</v>
      </c>
      <c r="I63" s="10" t="n">
        <v>94959</v>
      </c>
      <c r="J63" s="10">
        <f>SUM(D63:I63)</f>
        <v/>
      </c>
    </row>
    <row r="64">
      <c r="A64" s="14" t="inlineStr">
        <is>
          <t>OUTsurance Sales</t>
        </is>
      </c>
      <c r="B64" s="13" t="inlineStr">
        <is>
          <t>Jul-26</t>
        </is>
      </c>
      <c r="C64" s="13" t="n">
        <v>29</v>
      </c>
      <c r="D64" s="15" t="n">
        <v>511879</v>
      </c>
      <c r="E64" s="15" t="n">
        <v>45820</v>
      </c>
      <c r="F64" s="15" t="n">
        <v>24998</v>
      </c>
      <c r="G64" s="15" t="n">
        <v>40919</v>
      </c>
      <c r="H64" s="15" t="n">
        <v>17914</v>
      </c>
      <c r="I64" s="15" t="n">
        <v>67885</v>
      </c>
      <c r="J64" s="15">
        <f>SUM(D64:I64)</f>
        <v/>
      </c>
    </row>
    <row r="65">
      <c r="A65" s="9" t="inlineStr">
        <is>
          <t>Standard Bank Helpdesk</t>
        </is>
      </c>
      <c r="B65" s="8" t="inlineStr">
        <is>
          <t>Feb-26</t>
        </is>
      </c>
      <c r="C65" s="8" t="n">
        <v>57</v>
      </c>
      <c r="D65" s="10" t="n">
        <v>1020471</v>
      </c>
      <c r="E65" s="10" t="n">
        <v>110238</v>
      </c>
      <c r="F65" s="10" t="n">
        <v>44232</v>
      </c>
      <c r="G65" s="10" t="n">
        <v>84531</v>
      </c>
      <c r="H65" s="10" t="n">
        <v>12218</v>
      </c>
      <c r="I65" s="10" t="n">
        <v>114296</v>
      </c>
      <c r="J65" s="10">
        <f>SUM(D65:I65)</f>
        <v/>
      </c>
    </row>
    <row r="66">
      <c r="A66" s="14" t="inlineStr">
        <is>
          <t>Standard Bank Helpdesk</t>
        </is>
      </c>
      <c r="B66" s="13" t="inlineStr">
        <is>
          <t>Mar-26</t>
        </is>
      </c>
      <c r="C66" s="13" t="n">
        <v>57</v>
      </c>
      <c r="D66" s="15" t="n">
        <v>943806</v>
      </c>
      <c r="E66" s="15" t="n">
        <v>105963</v>
      </c>
      <c r="F66" s="15" t="n">
        <v>42066</v>
      </c>
      <c r="G66" s="15" t="n">
        <v>60306</v>
      </c>
      <c r="H66" s="15" t="n">
        <v>12747</v>
      </c>
      <c r="I66" s="15" t="n">
        <v>108095</v>
      </c>
      <c r="J66" s="15">
        <f>SUM(D66:I66)</f>
        <v/>
      </c>
    </row>
    <row r="67">
      <c r="A67" s="9" t="inlineStr">
        <is>
          <t>Standard Bank Helpdesk</t>
        </is>
      </c>
      <c r="B67" s="8" t="inlineStr">
        <is>
          <t>Apr-26</t>
        </is>
      </c>
      <c r="C67" s="8" t="n">
        <v>62</v>
      </c>
      <c r="D67" s="10" t="n">
        <v>1103910</v>
      </c>
      <c r="E67" s="10" t="n">
        <v>126356</v>
      </c>
      <c r="F67" s="10" t="n">
        <v>58962</v>
      </c>
      <c r="G67" s="10" t="n">
        <v>96286</v>
      </c>
      <c r="H67" s="10" t="n">
        <v>10501</v>
      </c>
      <c r="I67" s="10" t="n">
        <v>137486</v>
      </c>
      <c r="J67" s="10">
        <f>SUM(D67:I67)</f>
        <v/>
      </c>
    </row>
    <row r="68">
      <c r="A68" s="14" t="inlineStr">
        <is>
          <t>Standard Bank Helpdesk</t>
        </is>
      </c>
      <c r="B68" s="13" t="inlineStr">
        <is>
          <t>May-26</t>
        </is>
      </c>
      <c r="C68" s="13" t="n">
        <v>63</v>
      </c>
      <c r="D68" s="15" t="n">
        <v>1339254</v>
      </c>
      <c r="E68" s="15" t="n">
        <v>118692</v>
      </c>
      <c r="F68" s="15" t="n">
        <v>66654</v>
      </c>
      <c r="G68" s="15" t="n">
        <v>101556</v>
      </c>
      <c r="H68" s="15" t="n">
        <v>16601</v>
      </c>
      <c r="I68" s="15" t="n">
        <v>161236</v>
      </c>
      <c r="J68" s="15">
        <f>SUM(D68:I68)</f>
        <v/>
      </c>
    </row>
    <row r="69">
      <c r="A69" s="9" t="inlineStr">
        <is>
          <t>Standard Bank Helpdesk</t>
        </is>
      </c>
      <c r="B69" s="8" t="inlineStr">
        <is>
          <t>Jun-26</t>
        </is>
      </c>
      <c r="C69" s="8" t="n">
        <v>61</v>
      </c>
      <c r="D69" s="10" t="n">
        <v>1157231</v>
      </c>
      <c r="E69" s="10" t="n">
        <v>109922</v>
      </c>
      <c r="F69" s="10" t="n">
        <v>60512</v>
      </c>
      <c r="G69" s="10" t="n">
        <v>87108</v>
      </c>
      <c r="H69" s="10" t="n">
        <v>17836</v>
      </c>
      <c r="I69" s="10" t="n">
        <v>195985</v>
      </c>
      <c r="J69" s="10">
        <f>SUM(D69:I69)</f>
        <v/>
      </c>
    </row>
    <row r="70">
      <c r="A70" s="14" t="inlineStr">
        <is>
          <t>Standard Bank Helpdesk</t>
        </is>
      </c>
      <c r="B70" s="13" t="inlineStr">
        <is>
          <t>Jul-26</t>
        </is>
      </c>
      <c r="C70" s="13" t="n">
        <v>58</v>
      </c>
      <c r="D70" s="15" t="n">
        <v>1270780</v>
      </c>
      <c r="E70" s="15" t="n">
        <v>86884</v>
      </c>
      <c r="F70" s="15" t="n">
        <v>41238</v>
      </c>
      <c r="G70" s="15" t="n">
        <v>74588</v>
      </c>
      <c r="H70" s="15" t="n">
        <v>7546</v>
      </c>
      <c r="I70" s="15" t="n">
        <v>164538</v>
      </c>
      <c r="J70" s="15">
        <f>SUM(D70:I70)</f>
        <v/>
      </c>
    </row>
    <row r="71">
      <c r="A71" s="9" t="inlineStr">
        <is>
          <t>Shoprite Surveys</t>
        </is>
      </c>
      <c r="B71" s="8" t="inlineStr">
        <is>
          <t>Feb-26</t>
        </is>
      </c>
      <c r="C71" s="8" t="n">
        <v>35</v>
      </c>
      <c r="D71" s="10" t="n">
        <v>629265</v>
      </c>
      <c r="E71" s="10" t="n">
        <v>59955</v>
      </c>
      <c r="F71" s="10" t="n">
        <v>32060</v>
      </c>
      <c r="G71" s="10" t="n">
        <v>47460</v>
      </c>
      <c r="H71" s="10" t="n">
        <v>20169</v>
      </c>
      <c r="I71" s="10" t="n">
        <v>104177</v>
      </c>
      <c r="J71" s="10">
        <f>SUM(D71:I71)</f>
        <v/>
      </c>
    </row>
    <row r="72">
      <c r="A72" s="14" t="inlineStr">
        <is>
          <t>Shoprite Surveys</t>
        </is>
      </c>
      <c r="B72" s="13" t="inlineStr">
        <is>
          <t>Mar-26</t>
        </is>
      </c>
      <c r="C72" s="13" t="n">
        <v>30</v>
      </c>
      <c r="D72" s="15" t="n">
        <v>525780</v>
      </c>
      <c r="E72" s="15" t="n">
        <v>42420</v>
      </c>
      <c r="F72" s="15" t="n">
        <v>23460</v>
      </c>
      <c r="G72" s="15" t="n">
        <v>39720</v>
      </c>
      <c r="H72" s="15" t="n">
        <v>16988</v>
      </c>
      <c r="I72" s="15" t="n">
        <v>83726</v>
      </c>
      <c r="J72" s="15">
        <f>SUM(D72:I72)</f>
        <v/>
      </c>
    </row>
    <row r="73">
      <c r="A73" s="9" t="inlineStr">
        <is>
          <t>Shoprite Surveys</t>
        </is>
      </c>
      <c r="B73" s="8" t="inlineStr">
        <is>
          <t>Apr-26</t>
        </is>
      </c>
      <c r="C73" s="8" t="n">
        <v>29</v>
      </c>
      <c r="D73" s="10" t="n">
        <v>550507</v>
      </c>
      <c r="E73" s="10" t="n">
        <v>45211</v>
      </c>
      <c r="F73" s="10" t="n">
        <v>38628</v>
      </c>
      <c r="G73" s="10" t="n">
        <v>29899</v>
      </c>
      <c r="H73" s="10" t="n">
        <v>20429</v>
      </c>
      <c r="I73" s="10" t="n">
        <v>76885</v>
      </c>
      <c r="J73" s="10">
        <f>SUM(D73:I73)</f>
        <v/>
      </c>
    </row>
    <row r="74">
      <c r="A74" s="14" t="inlineStr">
        <is>
          <t>Shoprite Surveys</t>
        </is>
      </c>
      <c r="B74" s="13" t="inlineStr">
        <is>
          <t>May-26</t>
        </is>
      </c>
      <c r="C74" s="13" t="n">
        <v>32</v>
      </c>
      <c r="D74" s="15" t="n">
        <v>543968</v>
      </c>
      <c r="E74" s="15" t="n">
        <v>78720</v>
      </c>
      <c r="F74" s="15" t="n">
        <v>33984</v>
      </c>
      <c r="G74" s="15" t="n">
        <v>48928</v>
      </c>
      <c r="H74" s="15" t="n">
        <v>6683</v>
      </c>
      <c r="I74" s="15" t="n">
        <v>85532</v>
      </c>
      <c r="J74" s="15">
        <f>SUM(D74:I74)</f>
        <v/>
      </c>
    </row>
    <row r="75">
      <c r="A75" s="9" t="inlineStr">
        <is>
          <t>Shoprite Surveys</t>
        </is>
      </c>
      <c r="B75" s="8" t="inlineStr">
        <is>
          <t>Jun-26</t>
        </is>
      </c>
      <c r="C75" s="8" t="n">
        <v>30</v>
      </c>
      <c r="D75" s="10" t="n">
        <v>631650</v>
      </c>
      <c r="E75" s="10" t="n">
        <v>77280</v>
      </c>
      <c r="F75" s="10" t="n">
        <v>30450</v>
      </c>
      <c r="G75" s="10" t="n">
        <v>27000</v>
      </c>
      <c r="H75" s="10" t="n">
        <v>9652</v>
      </c>
      <c r="I75" s="10" t="n">
        <v>103185</v>
      </c>
      <c r="J75" s="10">
        <f>SUM(D75:I75)</f>
        <v/>
      </c>
    </row>
    <row r="76">
      <c r="A76" s="14" t="inlineStr">
        <is>
          <t>Shoprite Surveys</t>
        </is>
      </c>
      <c r="B76" s="13" t="inlineStr">
        <is>
          <t>Jul-26</t>
        </is>
      </c>
      <c r="C76" s="13" t="n">
        <v>32</v>
      </c>
      <c r="D76" s="15" t="n">
        <v>623648</v>
      </c>
      <c r="E76" s="15" t="n">
        <v>71424</v>
      </c>
      <c r="F76" s="15" t="n">
        <v>28960</v>
      </c>
      <c r="G76" s="15" t="n">
        <v>49792</v>
      </c>
      <c r="H76" s="15" t="n">
        <v>21315</v>
      </c>
      <c r="I76" s="15" t="n">
        <v>84382</v>
      </c>
      <c r="J76" s="15">
        <f>SUM(D76:I76)</f>
        <v/>
      </c>
    </row>
    <row r="77">
      <c r="A77" s="18" t="inlineStr">
        <is>
          <t>TOTAL</t>
        </is>
      </c>
      <c r="B77" s="18" t="n"/>
      <c r="C77" s="18">
        <f>SUM(C5:C76)</f>
        <v/>
      </c>
      <c r="D77" s="20">
        <f>SUM(D5:D76)</f>
        <v/>
      </c>
      <c r="E77" s="20">
        <f>SUM(E5:E76)</f>
        <v/>
      </c>
      <c r="F77" s="20">
        <f>SUM(F5:F76)</f>
        <v/>
      </c>
      <c r="G77" s="20">
        <f>SUM(G5:G76)</f>
        <v/>
      </c>
      <c r="H77" s="20">
        <f>SUM(H5:H76)</f>
        <v/>
      </c>
      <c r="I77" s="20">
        <f>SUM(I5:I76)</f>
        <v/>
      </c>
      <c r="J77" s="20">
        <f>SUM(J5:J76)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5" customWidth="1" min="3" max="3"/>
    <col width="16" customWidth="1" min="4" max="4"/>
    <col width="12" customWidth="1" min="5" max="5"/>
    <col width="15" customWidth="1" min="6" max="6"/>
  </cols>
  <sheetData>
    <row r="1" ht="30" customHeight="1">
      <c r="A1" s="1" t="inlineStr">
        <is>
          <t>Monthly Production &amp; Revenue by Campaign</t>
        </is>
      </c>
    </row>
    <row r="2">
      <c r="A2" s="2" t="inlineStr">
        <is>
          <t>Volume handled, conversions and revenue billed to the client per campaign per month</t>
        </is>
      </c>
    </row>
    <row r="4" ht="30" customHeight="1">
      <c r="A4" s="7" t="inlineStr">
        <is>
          <t>Campaign</t>
        </is>
      </c>
      <c r="B4" s="7" t="inlineStr">
        <is>
          <t>Month</t>
        </is>
      </c>
      <c r="C4" s="7" t="inlineStr">
        <is>
          <t>Contacts Handled</t>
        </is>
      </c>
      <c r="D4" s="7" t="inlineStr">
        <is>
          <t>Conversions/Sales</t>
        </is>
      </c>
      <c r="E4" s="7" t="inlineStr">
        <is>
          <t>Conversion %</t>
        </is>
      </c>
      <c r="F4" s="7" t="inlineStr">
        <is>
          <t>Revenue Billed</t>
        </is>
      </c>
    </row>
    <row r="5">
      <c r="A5" s="9" t="inlineStr">
        <is>
          <t>Vodacom Upgrades</t>
        </is>
      </c>
      <c r="B5" s="8" t="inlineStr">
        <is>
          <t>Feb-26</t>
        </is>
      </c>
      <c r="C5" s="25" t="n">
        <v>21835</v>
      </c>
      <c r="D5" s="25" t="n">
        <v>1950</v>
      </c>
      <c r="E5" s="11">
        <f>D5/C5</f>
        <v/>
      </c>
      <c r="F5" s="10" t="n">
        <v>999620</v>
      </c>
    </row>
    <row r="6">
      <c r="A6" s="14" t="inlineStr">
        <is>
          <t>Vodacom Upgrades</t>
        </is>
      </c>
      <c r="B6" s="13" t="inlineStr">
        <is>
          <t>Mar-26</t>
        </is>
      </c>
      <c r="C6" s="26" t="n">
        <v>31515</v>
      </c>
      <c r="D6" s="26" t="n">
        <v>4066</v>
      </c>
      <c r="E6" s="16">
        <f>D6/C6</f>
        <v/>
      </c>
      <c r="F6" s="15" t="n">
        <v>2363570</v>
      </c>
    </row>
    <row r="7">
      <c r="A7" s="9" t="inlineStr">
        <is>
          <t>Vodacom Upgrades</t>
        </is>
      </c>
      <c r="B7" s="8" t="inlineStr">
        <is>
          <t>Apr-26</t>
        </is>
      </c>
      <c r="C7" s="25" t="n">
        <v>26290</v>
      </c>
      <c r="D7" s="25" t="n">
        <v>5243</v>
      </c>
      <c r="E7" s="11">
        <f>D7/C7</f>
        <v/>
      </c>
      <c r="F7" s="10" t="n">
        <v>2644238</v>
      </c>
    </row>
    <row r="8">
      <c r="A8" s="14" t="inlineStr">
        <is>
          <t>Vodacom Upgrades</t>
        </is>
      </c>
      <c r="B8" s="13" t="inlineStr">
        <is>
          <t>May-26</t>
        </is>
      </c>
      <c r="C8" s="26" t="n">
        <v>29920</v>
      </c>
      <c r="D8" s="26" t="n">
        <v>3300</v>
      </c>
      <c r="E8" s="16">
        <f>D8/C8</f>
        <v/>
      </c>
      <c r="F8" s="15" t="n">
        <v>2314584</v>
      </c>
    </row>
    <row r="9">
      <c r="A9" s="9" t="inlineStr">
        <is>
          <t>Vodacom Upgrades</t>
        </is>
      </c>
      <c r="B9" s="8" t="inlineStr">
        <is>
          <t>Jun-26</t>
        </is>
      </c>
      <c r="C9" s="25" t="n">
        <v>31295</v>
      </c>
      <c r="D9" s="25" t="n">
        <v>1774</v>
      </c>
      <c r="E9" s="11">
        <f>D9/C9</f>
        <v/>
      </c>
      <c r="F9" s="10" t="n">
        <v>1443851</v>
      </c>
    </row>
    <row r="10">
      <c r="A10" s="14" t="inlineStr">
        <is>
          <t>Vodacom Upgrades</t>
        </is>
      </c>
      <c r="B10" s="13" t="inlineStr">
        <is>
          <t>Jul-26</t>
        </is>
      </c>
      <c r="C10" s="26" t="n">
        <v>33660</v>
      </c>
      <c r="D10" s="26" t="n">
        <v>3555</v>
      </c>
      <c r="E10" s="16">
        <f>D10/C10</f>
        <v/>
      </c>
      <c r="F10" s="15" t="n">
        <v>1556734</v>
      </c>
    </row>
    <row r="11">
      <c r="A11" s="9" t="inlineStr">
        <is>
          <t>ABSA Collections</t>
        </is>
      </c>
      <c r="B11" s="8" t="inlineStr">
        <is>
          <t>Feb-26</t>
        </is>
      </c>
      <c r="C11" s="25" t="n">
        <v>26273</v>
      </c>
      <c r="D11" s="25" t="n">
        <v>3000</v>
      </c>
      <c r="E11" s="11">
        <f>D11/C11</f>
        <v/>
      </c>
      <c r="F11" s="10" t="n">
        <v>1534142</v>
      </c>
    </row>
    <row r="12">
      <c r="A12" s="14" t="inlineStr">
        <is>
          <t>ABSA Collections</t>
        </is>
      </c>
      <c r="B12" s="13" t="inlineStr">
        <is>
          <t>Mar-26</t>
        </is>
      </c>
      <c r="C12" s="26" t="n">
        <v>19223</v>
      </c>
      <c r="D12" s="26" t="n">
        <v>3716</v>
      </c>
      <c r="E12" s="16">
        <f>D12/C12</f>
        <v/>
      </c>
      <c r="F12" s="15" t="n">
        <v>1310668</v>
      </c>
    </row>
    <row r="13">
      <c r="A13" s="9" t="inlineStr">
        <is>
          <t>ABSA Collections</t>
        </is>
      </c>
      <c r="B13" s="8" t="inlineStr">
        <is>
          <t>Apr-26</t>
        </is>
      </c>
      <c r="C13" s="25" t="n">
        <v>27448</v>
      </c>
      <c r="D13" s="25" t="n">
        <v>3774</v>
      </c>
      <c r="E13" s="11">
        <f>D13/C13</f>
        <v/>
      </c>
      <c r="F13" s="10" t="n">
        <v>1550020</v>
      </c>
    </row>
    <row r="14">
      <c r="A14" s="14" t="inlineStr">
        <is>
          <t>ABSA Collections</t>
        </is>
      </c>
      <c r="B14" s="13" t="inlineStr">
        <is>
          <t>May-26</t>
        </is>
      </c>
      <c r="C14" s="26" t="n">
        <v>18471</v>
      </c>
      <c r="D14" s="26" t="n">
        <v>2043</v>
      </c>
      <c r="E14" s="16">
        <f>D14/C14</f>
        <v/>
      </c>
      <c r="F14" s="15" t="n">
        <v>1157293</v>
      </c>
    </row>
    <row r="15">
      <c r="A15" s="9" t="inlineStr">
        <is>
          <t>ABSA Collections</t>
        </is>
      </c>
      <c r="B15" s="8" t="inlineStr">
        <is>
          <t>Jun-26</t>
        </is>
      </c>
      <c r="C15" s="25" t="n">
        <v>25004</v>
      </c>
      <c r="D15" s="25" t="n">
        <v>4095</v>
      </c>
      <c r="E15" s="11">
        <f>D15/C15</f>
        <v/>
      </c>
      <c r="F15" s="10" t="n">
        <v>2241736</v>
      </c>
    </row>
    <row r="16">
      <c r="A16" s="14" t="inlineStr">
        <is>
          <t>ABSA Collections</t>
        </is>
      </c>
      <c r="B16" s="13" t="inlineStr">
        <is>
          <t>Jul-26</t>
        </is>
      </c>
      <c r="C16" s="26" t="n">
        <v>28717</v>
      </c>
      <c r="D16" s="26" t="n">
        <v>3081</v>
      </c>
      <c r="E16" s="16">
        <f>D16/C16</f>
        <v/>
      </c>
      <c r="F16" s="15" t="n">
        <v>2050089</v>
      </c>
    </row>
    <row r="17">
      <c r="A17" s="9" t="inlineStr">
        <is>
          <t>MTN Retentions</t>
        </is>
      </c>
      <c r="B17" s="8" t="inlineStr">
        <is>
          <t>Feb-26</t>
        </is>
      </c>
      <c r="C17" s="25" t="n">
        <v>32760</v>
      </c>
      <c r="D17" s="25" t="n">
        <v>5992</v>
      </c>
      <c r="E17" s="11">
        <f>D17/C17</f>
        <v/>
      </c>
      <c r="F17" s="10" t="n">
        <v>1955414</v>
      </c>
    </row>
    <row r="18">
      <c r="A18" s="14" t="inlineStr">
        <is>
          <t>MTN Retentions</t>
        </is>
      </c>
      <c r="B18" s="13" t="inlineStr">
        <is>
          <t>Mar-26</t>
        </is>
      </c>
      <c r="C18" s="26" t="n">
        <v>18592</v>
      </c>
      <c r="D18" s="26" t="n">
        <v>1904</v>
      </c>
      <c r="E18" s="16">
        <f>D18/C18</f>
        <v/>
      </c>
      <c r="F18" s="15" t="n">
        <v>1272531</v>
      </c>
    </row>
    <row r="19">
      <c r="A19" s="9" t="inlineStr">
        <is>
          <t>MTN Retentions</t>
        </is>
      </c>
      <c r="B19" s="8" t="inlineStr">
        <is>
          <t>Apr-26</t>
        </is>
      </c>
      <c r="C19" s="25" t="n">
        <v>24640</v>
      </c>
      <c r="D19" s="25" t="n">
        <v>4420</v>
      </c>
      <c r="E19" s="11">
        <f>D19/C19</f>
        <v/>
      </c>
      <c r="F19" s="10" t="n">
        <v>1735144</v>
      </c>
    </row>
    <row r="20">
      <c r="A20" s="14" t="inlineStr">
        <is>
          <t>MTN Retentions</t>
        </is>
      </c>
      <c r="B20" s="13" t="inlineStr">
        <is>
          <t>May-26</t>
        </is>
      </c>
      <c r="C20" s="26" t="n">
        <v>26768</v>
      </c>
      <c r="D20" s="26" t="n">
        <v>1708</v>
      </c>
      <c r="E20" s="16">
        <f>D20/C20</f>
        <v/>
      </c>
      <c r="F20" s="15" t="n">
        <v>1345519</v>
      </c>
    </row>
    <row r="21">
      <c r="A21" s="9" t="inlineStr">
        <is>
          <t>MTN Retentions</t>
        </is>
      </c>
      <c r="B21" s="8" t="inlineStr">
        <is>
          <t>Jun-26</t>
        </is>
      </c>
      <c r="C21" s="25" t="n">
        <v>27832</v>
      </c>
      <c r="D21" s="25" t="n">
        <v>1477</v>
      </c>
      <c r="E21" s="11">
        <f>D21/C21</f>
        <v/>
      </c>
      <c r="F21" s="10" t="n">
        <v>1092383</v>
      </c>
    </row>
    <row r="22">
      <c r="A22" s="14" t="inlineStr">
        <is>
          <t>MTN Retentions</t>
        </is>
      </c>
      <c r="B22" s="13" t="inlineStr">
        <is>
          <t>Jul-26</t>
        </is>
      </c>
      <c r="C22" s="26" t="n">
        <v>33040</v>
      </c>
      <c r="D22" s="26" t="n">
        <v>1685</v>
      </c>
      <c r="E22" s="16">
        <f>D22/C22</f>
        <v/>
      </c>
      <c r="F22" s="15" t="n">
        <v>1847208</v>
      </c>
    </row>
    <row r="23">
      <c r="A23" s="9" t="inlineStr">
        <is>
          <t>Takealot Care</t>
        </is>
      </c>
      <c r="B23" s="8" t="inlineStr">
        <is>
          <t>Feb-26</t>
        </is>
      </c>
      <c r="C23" s="25" t="n">
        <v>22444</v>
      </c>
      <c r="D23" s="25" t="n">
        <v>2877</v>
      </c>
      <c r="E23" s="11">
        <f>D23/C23</f>
        <v/>
      </c>
      <c r="F23" s="10" t="n">
        <v>1869947</v>
      </c>
    </row>
    <row r="24">
      <c r="A24" s="14" t="inlineStr">
        <is>
          <t>Takealot Care</t>
        </is>
      </c>
      <c r="B24" s="13" t="inlineStr">
        <is>
          <t>Mar-26</t>
        </is>
      </c>
      <c r="C24" s="26" t="n">
        <v>31930</v>
      </c>
      <c r="D24" s="26" t="n">
        <v>3698</v>
      </c>
      <c r="E24" s="16">
        <f>D24/C24</f>
        <v/>
      </c>
      <c r="F24" s="15" t="n">
        <v>2667375</v>
      </c>
    </row>
    <row r="25">
      <c r="A25" s="9" t="inlineStr">
        <is>
          <t>Takealot Care</t>
        </is>
      </c>
      <c r="B25" s="8" t="inlineStr">
        <is>
          <t>Apr-26</t>
        </is>
      </c>
      <c r="C25" s="25" t="n">
        <v>22010</v>
      </c>
      <c r="D25" s="25" t="n">
        <v>3252</v>
      </c>
      <c r="E25" s="11">
        <f>D25/C25</f>
        <v/>
      </c>
      <c r="F25" s="10" t="n">
        <v>1889693</v>
      </c>
    </row>
    <row r="26">
      <c r="A26" s="14" t="inlineStr">
        <is>
          <t>Takealot Care</t>
        </is>
      </c>
      <c r="B26" s="13" t="inlineStr">
        <is>
          <t>May-26</t>
        </is>
      </c>
      <c r="C26" s="26" t="n">
        <v>22134</v>
      </c>
      <c r="D26" s="26" t="n">
        <v>2682</v>
      </c>
      <c r="E26" s="16">
        <f>D26/C26</f>
        <v/>
      </c>
      <c r="F26" s="15" t="n">
        <v>1311477</v>
      </c>
    </row>
    <row r="27">
      <c r="A27" s="9" t="inlineStr">
        <is>
          <t>Takealot Care</t>
        </is>
      </c>
      <c r="B27" s="8" t="inlineStr">
        <is>
          <t>Jun-26</t>
        </is>
      </c>
      <c r="C27" s="25" t="n">
        <v>35340</v>
      </c>
      <c r="D27" s="25" t="n">
        <v>2725</v>
      </c>
      <c r="E27" s="11">
        <f>D27/C27</f>
        <v/>
      </c>
      <c r="F27" s="10" t="n">
        <v>1594174</v>
      </c>
    </row>
    <row r="28">
      <c r="A28" s="14" t="inlineStr">
        <is>
          <t>Takealot Care</t>
        </is>
      </c>
      <c r="B28" s="13" t="inlineStr">
        <is>
          <t>Jul-26</t>
        </is>
      </c>
      <c r="C28" s="26" t="n">
        <v>36518</v>
      </c>
      <c r="D28" s="26" t="n">
        <v>5504</v>
      </c>
      <c r="E28" s="16">
        <f>D28/C28</f>
        <v/>
      </c>
      <c r="F28" s="15" t="n">
        <v>2875190</v>
      </c>
    </row>
    <row r="29">
      <c r="A29" s="9" t="inlineStr">
        <is>
          <t>Telkom Tech Support</t>
        </is>
      </c>
      <c r="B29" s="8" t="inlineStr">
        <is>
          <t>Feb-26</t>
        </is>
      </c>
      <c r="C29" s="25" t="n">
        <v>12254</v>
      </c>
      <c r="D29" s="25" t="n">
        <v>770</v>
      </c>
      <c r="E29" s="11">
        <f>D29/C29</f>
        <v/>
      </c>
      <c r="F29" s="10" t="n">
        <v>582522</v>
      </c>
    </row>
    <row r="30">
      <c r="A30" s="14" t="inlineStr">
        <is>
          <t>Telkom Tech Support</t>
        </is>
      </c>
      <c r="B30" s="13" t="inlineStr">
        <is>
          <t>Mar-26</t>
        </is>
      </c>
      <c r="C30" s="26" t="n">
        <v>10802</v>
      </c>
      <c r="D30" s="26" t="n">
        <v>2136</v>
      </c>
      <c r="E30" s="16">
        <f>D30/C30</f>
        <v/>
      </c>
      <c r="F30" s="15" t="n">
        <v>862084</v>
      </c>
    </row>
    <row r="31">
      <c r="A31" s="9" t="inlineStr">
        <is>
          <t>Telkom Tech Support</t>
        </is>
      </c>
      <c r="B31" s="8" t="inlineStr">
        <is>
          <t>Apr-26</t>
        </is>
      </c>
      <c r="C31" s="25" t="n">
        <v>8008</v>
      </c>
      <c r="D31" s="25" t="n">
        <v>1423</v>
      </c>
      <c r="E31" s="11">
        <f>D31/C31</f>
        <v/>
      </c>
      <c r="F31" s="10" t="n">
        <v>696134</v>
      </c>
    </row>
    <row r="32">
      <c r="A32" s="14" t="inlineStr">
        <is>
          <t>Telkom Tech Support</t>
        </is>
      </c>
      <c r="B32" s="13" t="inlineStr">
        <is>
          <t>May-26</t>
        </is>
      </c>
      <c r="C32" s="26" t="n">
        <v>7480</v>
      </c>
      <c r="D32" s="26" t="n">
        <v>1434</v>
      </c>
      <c r="E32" s="16">
        <f>D32/C32</f>
        <v/>
      </c>
      <c r="F32" s="15" t="n">
        <v>612078</v>
      </c>
    </row>
    <row r="33">
      <c r="A33" s="9" t="inlineStr">
        <is>
          <t>Telkom Tech Support</t>
        </is>
      </c>
      <c r="B33" s="8" t="inlineStr">
        <is>
          <t>Jun-26</t>
        </is>
      </c>
      <c r="C33" s="25" t="n">
        <v>10956</v>
      </c>
      <c r="D33" s="25" t="n">
        <v>2346</v>
      </c>
      <c r="E33" s="11">
        <f>D33/C33</f>
        <v/>
      </c>
      <c r="F33" s="10" t="n">
        <v>798588</v>
      </c>
    </row>
    <row r="34">
      <c r="A34" s="14" t="inlineStr">
        <is>
          <t>Telkom Tech Support</t>
        </is>
      </c>
      <c r="B34" s="13" t="inlineStr">
        <is>
          <t>Jul-26</t>
        </is>
      </c>
      <c r="C34" s="26" t="n">
        <v>11594</v>
      </c>
      <c r="D34" s="26" t="n">
        <v>643</v>
      </c>
      <c r="E34" s="16">
        <f>D34/C34</f>
        <v/>
      </c>
      <c r="F34" s="15" t="n">
        <v>451265</v>
      </c>
    </row>
    <row r="35">
      <c r="A35" s="9" t="inlineStr">
        <is>
          <t>Nedbank Debt Review</t>
        </is>
      </c>
      <c r="B35" s="8" t="inlineStr">
        <is>
          <t>Feb-26</t>
        </is>
      </c>
      <c r="C35" s="25" t="n">
        <v>13777</v>
      </c>
      <c r="D35" s="25" t="n">
        <v>1167</v>
      </c>
      <c r="E35" s="11">
        <f>D35/C35</f>
        <v/>
      </c>
      <c r="F35" s="10" t="n">
        <v>624144</v>
      </c>
    </row>
    <row r="36">
      <c r="A36" s="14" t="inlineStr">
        <is>
          <t>Nedbank Debt Review</t>
        </is>
      </c>
      <c r="B36" s="13" t="inlineStr">
        <is>
          <t>Mar-26</t>
        </is>
      </c>
      <c r="C36" s="26" t="n">
        <v>11937</v>
      </c>
      <c r="D36" s="26" t="n">
        <v>902</v>
      </c>
      <c r="E36" s="16">
        <f>D36/C36</f>
        <v/>
      </c>
      <c r="F36" s="15" t="n">
        <v>632779</v>
      </c>
    </row>
    <row r="37">
      <c r="A37" s="9" t="inlineStr">
        <is>
          <t>Nedbank Debt Review</t>
        </is>
      </c>
      <c r="B37" s="8" t="inlineStr">
        <is>
          <t>Apr-26</t>
        </is>
      </c>
      <c r="C37" s="25" t="n">
        <v>13248</v>
      </c>
      <c r="D37" s="25" t="n">
        <v>2604</v>
      </c>
      <c r="E37" s="11">
        <f>D37/C37</f>
        <v/>
      </c>
      <c r="F37" s="10" t="n">
        <v>902359</v>
      </c>
    </row>
    <row r="38">
      <c r="A38" s="14" t="inlineStr">
        <is>
          <t>Nedbank Debt Review</t>
        </is>
      </c>
      <c r="B38" s="13" t="inlineStr">
        <is>
          <t>May-26</t>
        </is>
      </c>
      <c r="C38" s="26" t="n">
        <v>12167</v>
      </c>
      <c r="D38" s="26" t="n">
        <v>916</v>
      </c>
      <c r="E38" s="16">
        <f>D38/C38</f>
        <v/>
      </c>
      <c r="F38" s="15" t="n">
        <v>666567</v>
      </c>
    </row>
    <row r="39">
      <c r="A39" s="9" t="inlineStr">
        <is>
          <t>Nedbank Debt Review</t>
        </is>
      </c>
      <c r="B39" s="8" t="inlineStr">
        <is>
          <t>Jun-26</t>
        </is>
      </c>
      <c r="C39" s="25" t="n">
        <v>10350</v>
      </c>
      <c r="D39" s="25" t="n">
        <v>1443</v>
      </c>
      <c r="E39" s="11">
        <f>D39/C39</f>
        <v/>
      </c>
      <c r="F39" s="10" t="n">
        <v>654887</v>
      </c>
    </row>
    <row r="40">
      <c r="A40" s="14" t="inlineStr">
        <is>
          <t>Nedbank Debt Review</t>
        </is>
      </c>
      <c r="B40" s="13" t="inlineStr">
        <is>
          <t>Jul-26</t>
        </is>
      </c>
      <c r="C40" s="26" t="n">
        <v>9499</v>
      </c>
      <c r="D40" s="26" t="n">
        <v>645</v>
      </c>
      <c r="E40" s="16">
        <f>D40/C40</f>
        <v/>
      </c>
      <c r="F40" s="15" t="n">
        <v>486254</v>
      </c>
    </row>
    <row r="41">
      <c r="A41" s="9" t="inlineStr">
        <is>
          <t>DStv Upsell</t>
        </is>
      </c>
      <c r="B41" s="8" t="inlineStr">
        <is>
          <t>Feb-26</t>
        </is>
      </c>
      <c r="C41" s="25" t="n">
        <v>13020</v>
      </c>
      <c r="D41" s="25" t="n">
        <v>774</v>
      </c>
      <c r="E41" s="11">
        <f>D41/C41</f>
        <v/>
      </c>
      <c r="F41" s="10" t="n">
        <v>674590</v>
      </c>
    </row>
    <row r="42">
      <c r="A42" s="14" t="inlineStr">
        <is>
          <t>DStv Upsell</t>
        </is>
      </c>
      <c r="B42" s="13" t="inlineStr">
        <is>
          <t>Mar-26</t>
        </is>
      </c>
      <c r="C42" s="26" t="n">
        <v>11580</v>
      </c>
      <c r="D42" s="26" t="n">
        <v>1189</v>
      </c>
      <c r="E42" s="16">
        <f>D42/C42</f>
        <v/>
      </c>
      <c r="F42" s="15" t="n">
        <v>830142</v>
      </c>
    </row>
    <row r="43">
      <c r="A43" s="9" t="inlineStr">
        <is>
          <t>DStv Upsell</t>
        </is>
      </c>
      <c r="B43" s="8" t="inlineStr">
        <is>
          <t>Apr-26</t>
        </is>
      </c>
      <c r="C43" s="25" t="n">
        <v>10860</v>
      </c>
      <c r="D43" s="25" t="n">
        <v>769</v>
      </c>
      <c r="E43" s="11">
        <f>D43/C43</f>
        <v/>
      </c>
      <c r="F43" s="10" t="n">
        <v>617126</v>
      </c>
    </row>
    <row r="44">
      <c r="A44" s="14" t="inlineStr">
        <is>
          <t>DStv Upsell</t>
        </is>
      </c>
      <c r="B44" s="13" t="inlineStr">
        <is>
          <t>May-26</t>
        </is>
      </c>
      <c r="C44" s="26" t="n">
        <v>17190</v>
      </c>
      <c r="D44" s="26" t="n">
        <v>3339</v>
      </c>
      <c r="E44" s="16">
        <f>D44/C44</f>
        <v/>
      </c>
      <c r="F44" s="15" t="n">
        <v>1634818</v>
      </c>
    </row>
    <row r="45">
      <c r="A45" s="9" t="inlineStr">
        <is>
          <t>DStv Upsell</t>
        </is>
      </c>
      <c r="B45" s="8" t="inlineStr">
        <is>
          <t>Jun-26</t>
        </is>
      </c>
      <c r="C45" s="25" t="n">
        <v>10590</v>
      </c>
      <c r="D45" s="25" t="n">
        <v>965</v>
      </c>
      <c r="E45" s="11">
        <f>D45/C45</f>
        <v/>
      </c>
      <c r="F45" s="10" t="n">
        <v>493437</v>
      </c>
    </row>
    <row r="46">
      <c r="A46" s="14" t="inlineStr">
        <is>
          <t>DStv Upsell</t>
        </is>
      </c>
      <c r="B46" s="13" t="inlineStr">
        <is>
          <t>Jul-26</t>
        </is>
      </c>
      <c r="C46" s="26" t="n">
        <v>16410</v>
      </c>
      <c r="D46" s="26" t="n">
        <v>3218</v>
      </c>
      <c r="E46" s="16">
        <f>D46/C46</f>
        <v/>
      </c>
      <c r="F46" s="15" t="n">
        <v>1244569</v>
      </c>
    </row>
    <row r="47">
      <c r="A47" s="9" t="inlineStr">
        <is>
          <t>Discovery Lead Gen</t>
        </is>
      </c>
      <c r="B47" s="8" t="inlineStr">
        <is>
          <t>Feb-26</t>
        </is>
      </c>
      <c r="C47" s="25" t="n">
        <v>10725</v>
      </c>
      <c r="D47" s="25" t="n">
        <v>2077</v>
      </c>
      <c r="E47" s="11">
        <f>D47/C47</f>
        <v/>
      </c>
      <c r="F47" s="10" t="n">
        <v>643464</v>
      </c>
    </row>
    <row r="48">
      <c r="A48" s="14" t="inlineStr">
        <is>
          <t>Discovery Lead Gen</t>
        </is>
      </c>
      <c r="B48" s="13" t="inlineStr">
        <is>
          <t>Mar-26</t>
        </is>
      </c>
      <c r="C48" s="26" t="n">
        <v>11781</v>
      </c>
      <c r="D48" s="26" t="n">
        <v>2344</v>
      </c>
      <c r="E48" s="16">
        <f>D48/C48</f>
        <v/>
      </c>
      <c r="F48" s="15" t="n">
        <v>1290451</v>
      </c>
    </row>
    <row r="49">
      <c r="A49" s="9" t="inlineStr">
        <is>
          <t>Discovery Lead Gen</t>
        </is>
      </c>
      <c r="B49" s="8" t="inlineStr">
        <is>
          <t>Apr-26</t>
        </is>
      </c>
      <c r="C49" s="25" t="n">
        <v>15345</v>
      </c>
      <c r="D49" s="25" t="n">
        <v>2422</v>
      </c>
      <c r="E49" s="11">
        <f>D49/C49</f>
        <v/>
      </c>
      <c r="F49" s="10" t="n">
        <v>968538</v>
      </c>
    </row>
    <row r="50">
      <c r="A50" s="14" t="inlineStr">
        <is>
          <t>Discovery Lead Gen</t>
        </is>
      </c>
      <c r="B50" s="13" t="inlineStr">
        <is>
          <t>May-26</t>
        </is>
      </c>
      <c r="C50" s="26" t="n">
        <v>12705</v>
      </c>
      <c r="D50" s="26" t="n">
        <v>2039</v>
      </c>
      <c r="E50" s="16">
        <f>D50/C50</f>
        <v/>
      </c>
      <c r="F50" s="15" t="n">
        <v>1080333</v>
      </c>
    </row>
    <row r="51">
      <c r="A51" s="9" t="inlineStr">
        <is>
          <t>Discovery Lead Gen</t>
        </is>
      </c>
      <c r="B51" s="8" t="inlineStr">
        <is>
          <t>Jun-26</t>
        </is>
      </c>
      <c r="C51" s="25" t="n">
        <v>15147</v>
      </c>
      <c r="D51" s="25" t="n">
        <v>2729</v>
      </c>
      <c r="E51" s="11">
        <f>D51/C51</f>
        <v/>
      </c>
      <c r="F51" s="10" t="n">
        <v>1464486</v>
      </c>
    </row>
    <row r="52">
      <c r="A52" s="14" t="inlineStr">
        <is>
          <t>Discovery Lead Gen</t>
        </is>
      </c>
      <c r="B52" s="13" t="inlineStr">
        <is>
          <t>Jul-26</t>
        </is>
      </c>
      <c r="C52" s="26" t="n">
        <v>16104</v>
      </c>
      <c r="D52" s="26" t="n">
        <v>2887</v>
      </c>
      <c r="E52" s="16">
        <f>D52/C52</f>
        <v/>
      </c>
      <c r="F52" s="15" t="n">
        <v>1655035</v>
      </c>
    </row>
    <row r="53">
      <c r="A53" s="9" t="inlineStr">
        <is>
          <t>Cell C Winback</t>
        </is>
      </c>
      <c r="B53" s="8" t="inlineStr">
        <is>
          <t>Feb-26</t>
        </is>
      </c>
      <c r="C53" s="25" t="n">
        <v>13530</v>
      </c>
      <c r="D53" s="25" t="n">
        <v>2069</v>
      </c>
      <c r="E53" s="11">
        <f>D53/C53</f>
        <v/>
      </c>
      <c r="F53" s="10" t="n">
        <v>1197272</v>
      </c>
    </row>
    <row r="54">
      <c r="A54" s="14" t="inlineStr">
        <is>
          <t>Cell C Winback</t>
        </is>
      </c>
      <c r="B54" s="13" t="inlineStr">
        <is>
          <t>Mar-26</t>
        </is>
      </c>
      <c r="C54" s="26" t="n">
        <v>13420</v>
      </c>
      <c r="D54" s="26" t="n">
        <v>1008</v>
      </c>
      <c r="E54" s="16">
        <f>D54/C54</f>
        <v/>
      </c>
      <c r="F54" s="15" t="n">
        <v>866724</v>
      </c>
    </row>
    <row r="55">
      <c r="A55" s="9" t="inlineStr">
        <is>
          <t>Cell C Winback</t>
        </is>
      </c>
      <c r="B55" s="8" t="inlineStr">
        <is>
          <t>Apr-26</t>
        </is>
      </c>
      <c r="C55" s="25" t="n">
        <v>9856</v>
      </c>
      <c r="D55" s="25" t="n">
        <v>1602</v>
      </c>
      <c r="E55" s="11">
        <f>D55/C55</f>
        <v/>
      </c>
      <c r="F55" s="10" t="n">
        <v>751111</v>
      </c>
    </row>
    <row r="56">
      <c r="A56" s="14" t="inlineStr">
        <is>
          <t>Cell C Winback</t>
        </is>
      </c>
      <c r="B56" s="13" t="inlineStr">
        <is>
          <t>May-26</t>
        </is>
      </c>
      <c r="C56" s="26" t="n">
        <v>9240</v>
      </c>
      <c r="D56" s="26" t="n">
        <v>1720</v>
      </c>
      <c r="E56" s="16">
        <f>D56/C56</f>
        <v/>
      </c>
      <c r="F56" s="15" t="n">
        <v>863585</v>
      </c>
    </row>
    <row r="57">
      <c r="A57" s="9" t="inlineStr">
        <is>
          <t>Cell C Winback</t>
        </is>
      </c>
      <c r="B57" s="8" t="inlineStr">
        <is>
          <t>Jun-26</t>
        </is>
      </c>
      <c r="C57" s="25" t="n">
        <v>12430</v>
      </c>
      <c r="D57" s="25" t="n">
        <v>1312</v>
      </c>
      <c r="E57" s="11">
        <f>D57/C57</f>
        <v/>
      </c>
      <c r="F57" s="10" t="n">
        <v>899024</v>
      </c>
    </row>
    <row r="58">
      <c r="A58" s="14" t="inlineStr">
        <is>
          <t>Cell C Winback</t>
        </is>
      </c>
      <c r="B58" s="13" t="inlineStr">
        <is>
          <t>Jul-26</t>
        </is>
      </c>
      <c r="C58" s="26" t="n">
        <v>8294</v>
      </c>
      <c r="D58" s="26" t="n">
        <v>1559</v>
      </c>
      <c r="E58" s="16">
        <f>D58/C58</f>
        <v/>
      </c>
      <c r="F58" s="15" t="n">
        <v>846366</v>
      </c>
    </row>
    <row r="59">
      <c r="A59" s="9" t="inlineStr">
        <is>
          <t>OUTsurance Sales</t>
        </is>
      </c>
      <c r="B59" s="8" t="inlineStr">
        <is>
          <t>Feb-26</t>
        </is>
      </c>
      <c r="C59" s="25" t="n">
        <v>14291</v>
      </c>
      <c r="D59" s="25" t="n">
        <v>1329</v>
      </c>
      <c r="E59" s="11">
        <f>D59/C59</f>
        <v/>
      </c>
      <c r="F59" s="10" t="n">
        <v>853815</v>
      </c>
    </row>
    <row r="60">
      <c r="A60" s="14" t="inlineStr">
        <is>
          <t>OUTsurance Sales</t>
        </is>
      </c>
      <c r="B60" s="13" t="inlineStr">
        <is>
          <t>Mar-26</t>
        </is>
      </c>
      <c r="C60" s="26" t="n">
        <v>13175</v>
      </c>
      <c r="D60" s="26" t="n">
        <v>1994</v>
      </c>
      <c r="E60" s="16">
        <f>D60/C60</f>
        <v/>
      </c>
      <c r="F60" s="15" t="n">
        <v>706466</v>
      </c>
    </row>
    <row r="61">
      <c r="A61" s="9" t="inlineStr">
        <is>
          <t>OUTsurance Sales</t>
        </is>
      </c>
      <c r="B61" s="8" t="inlineStr">
        <is>
          <t>Apr-26</t>
        </is>
      </c>
      <c r="C61" s="25" t="n">
        <v>18228</v>
      </c>
      <c r="D61" s="25" t="n">
        <v>1470</v>
      </c>
      <c r="E61" s="11">
        <f>D61/C61</f>
        <v/>
      </c>
      <c r="F61" s="10" t="n">
        <v>1068610</v>
      </c>
    </row>
    <row r="62">
      <c r="A62" s="14" t="inlineStr">
        <is>
          <t>OUTsurance Sales</t>
        </is>
      </c>
      <c r="B62" s="13" t="inlineStr">
        <is>
          <t>May-26</t>
        </is>
      </c>
      <c r="C62" s="26" t="n">
        <v>18259</v>
      </c>
      <c r="D62" s="26" t="n">
        <v>3063</v>
      </c>
      <c r="E62" s="16">
        <f>D62/C62</f>
        <v/>
      </c>
      <c r="F62" s="15" t="n">
        <v>1844390</v>
      </c>
    </row>
    <row r="63">
      <c r="A63" s="9" t="inlineStr">
        <is>
          <t>OUTsurance Sales</t>
        </is>
      </c>
      <c r="B63" s="8" t="inlineStr">
        <is>
          <t>Jun-26</t>
        </is>
      </c>
      <c r="C63" s="25" t="n">
        <v>12741</v>
      </c>
      <c r="D63" s="25" t="n">
        <v>2800</v>
      </c>
      <c r="E63" s="11">
        <f>D63/C63</f>
        <v/>
      </c>
      <c r="F63" s="10" t="n">
        <v>1391992</v>
      </c>
    </row>
    <row r="64">
      <c r="A64" s="14" t="inlineStr">
        <is>
          <t>OUTsurance Sales</t>
        </is>
      </c>
      <c r="B64" s="13" t="inlineStr">
        <is>
          <t>Jul-26</t>
        </is>
      </c>
      <c r="C64" s="26" t="n">
        <v>13888</v>
      </c>
      <c r="D64" s="26" t="n">
        <v>1254</v>
      </c>
      <c r="E64" s="16">
        <f>D64/C64</f>
        <v/>
      </c>
      <c r="F64" s="15" t="n">
        <v>683163</v>
      </c>
    </row>
    <row r="65">
      <c r="A65" s="9" t="inlineStr">
        <is>
          <t>Standard Bank Helpdesk</t>
        </is>
      </c>
      <c r="B65" s="8" t="inlineStr">
        <is>
          <t>Feb-26</t>
        </is>
      </c>
      <c r="C65" s="25" t="n">
        <v>30420</v>
      </c>
      <c r="D65" s="25" t="n">
        <v>6306</v>
      </c>
      <c r="E65" s="11">
        <f>D65/C65</f>
        <v/>
      </c>
      <c r="F65" s="10" t="n">
        <v>2187327</v>
      </c>
    </row>
    <row r="66">
      <c r="A66" s="14" t="inlineStr">
        <is>
          <t>Standard Bank Helpdesk</t>
        </is>
      </c>
      <c r="B66" s="13" t="inlineStr">
        <is>
          <t>Mar-26</t>
        </is>
      </c>
      <c r="C66" s="26" t="n">
        <v>26880</v>
      </c>
      <c r="D66" s="26" t="n">
        <v>5815</v>
      </c>
      <c r="E66" s="16">
        <f>D66/C66</f>
        <v/>
      </c>
      <c r="F66" s="15" t="n">
        <v>3232666</v>
      </c>
    </row>
    <row r="67">
      <c r="A67" s="9" t="inlineStr">
        <is>
          <t>Standard Bank Helpdesk</t>
        </is>
      </c>
      <c r="B67" s="8" t="inlineStr">
        <is>
          <t>Apr-26</t>
        </is>
      </c>
      <c r="C67" s="25" t="n">
        <v>19440</v>
      </c>
      <c r="D67" s="25" t="n">
        <v>3389</v>
      </c>
      <c r="E67" s="11">
        <f>D67/C67</f>
        <v/>
      </c>
      <c r="F67" s="10" t="n">
        <v>1684228</v>
      </c>
    </row>
    <row r="68">
      <c r="A68" s="14" t="inlineStr">
        <is>
          <t>Standard Bank Helpdesk</t>
        </is>
      </c>
      <c r="B68" s="13" t="inlineStr">
        <is>
          <t>May-26</t>
        </is>
      </c>
      <c r="C68" s="26" t="n">
        <v>36480</v>
      </c>
      <c r="D68" s="26" t="n">
        <v>6063</v>
      </c>
      <c r="E68" s="16">
        <f>D68/C68</f>
        <v/>
      </c>
      <c r="F68" s="15" t="n">
        <v>2461576</v>
      </c>
    </row>
    <row r="69">
      <c r="A69" s="9" t="inlineStr">
        <is>
          <t>Standard Bank Helpdesk</t>
        </is>
      </c>
      <c r="B69" s="8" t="inlineStr">
        <is>
          <t>Jun-26</t>
        </is>
      </c>
      <c r="C69" s="25" t="n">
        <v>36060</v>
      </c>
      <c r="D69" s="25" t="n">
        <v>2451</v>
      </c>
      <c r="E69" s="11">
        <f>D69/C69</f>
        <v/>
      </c>
      <c r="F69" s="10" t="n">
        <v>1657712</v>
      </c>
    </row>
    <row r="70">
      <c r="A70" s="14" t="inlineStr">
        <is>
          <t>Standard Bank Helpdesk</t>
        </is>
      </c>
      <c r="B70" s="13" t="inlineStr">
        <is>
          <t>Jul-26</t>
        </is>
      </c>
      <c r="C70" s="26" t="n">
        <v>36780</v>
      </c>
      <c r="D70" s="26" t="n">
        <v>5289</v>
      </c>
      <c r="E70" s="16">
        <f>D70/C70</f>
        <v/>
      </c>
      <c r="F70" s="15" t="n">
        <v>2627621</v>
      </c>
    </row>
    <row r="71">
      <c r="A71" s="9" t="inlineStr">
        <is>
          <t>Shoprite Surveys</t>
        </is>
      </c>
      <c r="B71" s="8" t="inlineStr">
        <is>
          <t>Feb-26</t>
        </is>
      </c>
      <c r="C71" s="25" t="n">
        <v>18368</v>
      </c>
      <c r="D71" s="25" t="n">
        <v>1166</v>
      </c>
      <c r="E71" s="11">
        <f>D71/C71</f>
        <v/>
      </c>
      <c r="F71" s="10" t="n">
        <v>1200230</v>
      </c>
    </row>
    <row r="72">
      <c r="A72" s="14" t="inlineStr">
        <is>
          <t>Shoprite Surveys</t>
        </is>
      </c>
      <c r="B72" s="13" t="inlineStr">
        <is>
          <t>Mar-26</t>
        </is>
      </c>
      <c r="C72" s="26" t="n">
        <v>14560</v>
      </c>
      <c r="D72" s="26" t="n">
        <v>2634</v>
      </c>
      <c r="E72" s="16">
        <f>D72/C72</f>
        <v/>
      </c>
      <c r="F72" s="15" t="n">
        <v>1593694</v>
      </c>
    </row>
    <row r="73">
      <c r="A73" s="9" t="inlineStr">
        <is>
          <t>Shoprite Surveys</t>
        </is>
      </c>
      <c r="B73" s="8" t="inlineStr">
        <is>
          <t>Apr-26</t>
        </is>
      </c>
      <c r="C73" s="25" t="n">
        <v>11328</v>
      </c>
      <c r="D73" s="25" t="n">
        <v>1001</v>
      </c>
      <c r="E73" s="11">
        <f>D73/C73</f>
        <v/>
      </c>
      <c r="F73" s="10" t="n">
        <v>807232</v>
      </c>
    </row>
    <row r="74">
      <c r="A74" s="14" t="inlineStr">
        <is>
          <t>Shoprite Surveys</t>
        </is>
      </c>
      <c r="B74" s="13" t="inlineStr">
        <is>
          <t>May-26</t>
        </is>
      </c>
      <c r="C74" s="26" t="n">
        <v>12672</v>
      </c>
      <c r="D74" s="26" t="n">
        <v>1055</v>
      </c>
      <c r="E74" s="16">
        <f>D74/C74</f>
        <v/>
      </c>
      <c r="F74" s="15" t="n">
        <v>904261</v>
      </c>
    </row>
    <row r="75">
      <c r="A75" s="9" t="inlineStr">
        <is>
          <t>Shoprite Surveys</t>
        </is>
      </c>
      <c r="B75" s="8" t="inlineStr">
        <is>
          <t>Jun-26</t>
        </is>
      </c>
      <c r="C75" s="25" t="n">
        <v>19424</v>
      </c>
      <c r="D75" s="25" t="n">
        <v>3085</v>
      </c>
      <c r="E75" s="11">
        <f>D75/C75</f>
        <v/>
      </c>
      <c r="F75" s="10" t="n">
        <v>1694222</v>
      </c>
    </row>
    <row r="76">
      <c r="A76" s="14" t="inlineStr">
        <is>
          <t>Shoprite Surveys</t>
        </is>
      </c>
      <c r="B76" s="13" t="inlineStr">
        <is>
          <t>Jul-26</t>
        </is>
      </c>
      <c r="C76" s="26" t="n">
        <v>13120</v>
      </c>
      <c r="D76" s="26" t="n">
        <v>1571</v>
      </c>
      <c r="E76" s="16">
        <f>D76/C76</f>
        <v/>
      </c>
      <c r="F76" s="15" t="n">
        <v>762160</v>
      </c>
    </row>
    <row r="77">
      <c r="A77" s="18" t="inlineStr">
        <is>
          <t>TOTAL</t>
        </is>
      </c>
      <c r="B77" s="18" t="n"/>
      <c r="C77" s="27">
        <f>SUM(C5:C76)</f>
        <v/>
      </c>
      <c r="D77" s="27">
        <f>SUM(D5:D76)</f>
        <v/>
      </c>
      <c r="E77" s="21">
        <f>D77/C77</f>
        <v/>
      </c>
      <c r="F77" s="20">
        <f>SUM(F5:F76)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2026-08-08T23:36:54Z</dcterms:created>
  <dcterms:modified xmlns:dcterms="http://purl.org/dc/terms/" xmlns:xsi="http://www.w3.org/2001/XMLSchema-instance" xsi:type="dcterms:W3CDTF">2026-08-08T23:36:54Z</dcterms:modified>
</cp:coreProperties>
</file>