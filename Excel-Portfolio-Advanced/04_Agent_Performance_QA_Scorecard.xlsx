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Scorecard" sheetId="1" state="visible" r:id="rId1"/>
    <sheet xmlns:r="http://schemas.openxmlformats.org/officeDocument/2006/relationships" name="Campaign 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sz val="9"/>
    </font>
    <font>
      <name val="Arial"/>
      <b val="1"/>
      <color rgb="000000FF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5" fillId="3" borderId="0" pivotButton="0" quotePrefix="0" xfId="0"/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/>
    </xf>
    <xf numFmtId="164" fontId="8" fillId="5" borderId="1" applyAlignment="1" pivotButton="0" quotePrefix="0" xfId="0">
      <alignment horizontal="center" vertical="center"/>
    </xf>
    <xf numFmtId="0" fontId="5" fillId="3" borderId="0" pivotButton="0" quotePrefix="0" xfId="0"/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Composite Score by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'Campaign Benchmarks'!E4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 Benchmarks'!$A$5:$A$16</f>
            </numRef>
          </cat>
          <val>
            <numRef>
              <f>'Campaign Benchmarks'!$E$5:$E$16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6" customWidth="1" min="4" max="4"/>
    <col width="9" customWidth="1" min="5" max="5"/>
    <col width="7" customWidth="1" min="6" max="6"/>
    <col width="7" customWidth="1" min="7" max="7"/>
    <col width="8" customWidth="1" min="8" max="8"/>
    <col width="8" customWidth="1" min="9" max="9"/>
    <col width="11" customWidth="1" min="10" max="10"/>
    <col width="12" customWidth="1" min="11" max="11"/>
    <col width="11" customWidth="1" min="12" max="12"/>
    <col width="10" customWidth="1" min="13" max="13"/>
    <col width="7" customWidth="1" min="14" max="14"/>
    <col width="12" customWidth="1" min="15" max="15"/>
    <col width="8" customWidth="1" min="16" max="16"/>
    <col width="12" customWidth="1" min="17" max="17"/>
    <col hidden="1" width="3" customWidth="1" min="18" max="18"/>
    <col width="15" customWidth="1" min="19" max="19"/>
    <col width="9" customWidth="1" min="20" max="20"/>
  </cols>
  <sheetData>
    <row r="1" ht="30" customHeight="1">
      <c r="A1" s="1" t="inlineStr">
        <is>
          <t>Agent Performance &amp; QA Scorecard — 150 Agents</t>
        </is>
      </c>
    </row>
    <row r="2">
      <c r="A2" s="2" t="inlineStr">
        <is>
          <t>Weighted composite, overall + in-campaign ranking, quintiles and automated coaching flags</t>
        </is>
      </c>
    </row>
    <row r="4" ht="30" customHeight="1">
      <c r="A4" s="3" t="inlineStr">
        <is>
          <t>Agent ID</t>
        </is>
      </c>
      <c r="B4" s="3" t="inlineStr">
        <is>
          <t>Agent</t>
        </is>
      </c>
      <c r="C4" s="3" t="inlineStr">
        <is>
          <t>Campaign</t>
        </is>
      </c>
      <c r="D4" s="3" t="inlineStr">
        <is>
          <t>Team Leader</t>
        </is>
      </c>
      <c r="E4" s="3" t="inlineStr">
        <is>
          <t>Tenure(m)</t>
        </is>
      </c>
      <c r="F4" s="3" t="inlineStr">
        <is>
          <t>Calls</t>
        </is>
      </c>
      <c r="G4" s="3" t="inlineStr">
        <is>
          <t>AHT</t>
        </is>
      </c>
      <c r="H4" s="3" t="inlineStr">
        <is>
          <t>QA %</t>
        </is>
      </c>
      <c r="I4" s="3" t="inlineStr">
        <is>
          <t>CSAT %</t>
        </is>
      </c>
      <c r="J4" s="3" t="inlineStr">
        <is>
          <t>Adherence %</t>
        </is>
      </c>
      <c r="K4" s="3" t="inlineStr">
        <is>
          <t>Attendance %</t>
        </is>
      </c>
      <c r="L4" s="3" t="inlineStr">
        <is>
          <t>Conversion %</t>
        </is>
      </c>
      <c r="M4" s="3" t="inlineStr">
        <is>
          <t>Composite</t>
        </is>
      </c>
      <c r="N4" s="3" t="inlineStr">
        <is>
          <t>Rank</t>
        </is>
      </c>
      <c r="O4" s="3" t="inlineStr">
        <is>
          <t>Rank in Camp</t>
        </is>
      </c>
      <c r="P4" s="3" t="inlineStr">
        <is>
          <t>Quintile</t>
        </is>
      </c>
      <c r="Q4" s="3" t="inlineStr">
        <is>
          <t>Coaching Flag</t>
        </is>
      </c>
      <c r="S4" s="4" t="inlineStr">
        <is>
          <t>SCORING MODEL</t>
        </is>
      </c>
    </row>
    <row r="5">
      <c r="A5" s="5" t="inlineStr">
        <is>
          <t>A5001</t>
        </is>
      </c>
      <c r="B5" s="6" t="inlineStr">
        <is>
          <t>Zinhle Van Wyk</t>
        </is>
      </c>
      <c r="C5" s="6" t="inlineStr">
        <is>
          <t>Standard Bank Helpdesk</t>
        </is>
      </c>
      <c r="D5" s="6" t="inlineStr">
        <is>
          <t>Thabo Buthelezi</t>
        </is>
      </c>
      <c r="E5" s="5" t="n">
        <v>13</v>
      </c>
      <c r="F5" s="5" t="n">
        <v>1189</v>
      </c>
      <c r="G5" s="5" t="n">
        <v>339</v>
      </c>
      <c r="H5" s="7" t="n">
        <v>0.92</v>
      </c>
      <c r="I5" s="7" t="n">
        <v>0.78</v>
      </c>
      <c r="J5" s="7" t="n">
        <v>0.9399999999999999</v>
      </c>
      <c r="K5" s="7" t="n">
        <v>0.92</v>
      </c>
      <c r="L5" s="7" t="n">
        <v>0.1</v>
      </c>
      <c r="M5" s="7">
        <f>H5*$T$5+I5*$T$6+J5*$T$7+K5*$T$8+MIN(F5/$T$11,1)*$T$9+MIN(L5/0.3,1)*$T$10</f>
        <v/>
      </c>
      <c r="N5" s="5">
        <f>RANK(M5,$M$5:$M$154)</f>
        <v/>
      </c>
      <c r="O5" s="5">
        <f>SUMPRODUCT(($C$5:$C$154=C5)*($M$5:$M$154&gt;M5))+1</f>
        <v/>
      </c>
      <c r="P5" s="5">
        <f>ROUNDUP(N5/30,0)</f>
        <v/>
      </c>
      <c r="Q5" s="5">
        <f>IF(OR(M5&lt;0.75,H5&lt;0.8),"Coaching","On Track")</f>
        <v/>
      </c>
      <c r="R5">
        <f>C5&amp;"|"&amp;O5</f>
        <v/>
      </c>
      <c r="S5" s="8" t="inlineStr">
        <is>
          <t>QA Quality</t>
        </is>
      </c>
      <c r="T5" s="9" t="n">
        <v>0.25</v>
      </c>
    </row>
    <row r="6">
      <c r="A6" s="10" t="inlineStr">
        <is>
          <t>A5002</t>
        </is>
      </c>
      <c r="B6" s="11" t="inlineStr">
        <is>
          <t>Mandla Sibiya</t>
        </is>
      </c>
      <c r="C6" s="11" t="inlineStr">
        <is>
          <t>Takealot Care</t>
        </is>
      </c>
      <c r="D6" s="11" t="inlineStr">
        <is>
          <t>Zodwa Nel</t>
        </is>
      </c>
      <c r="E6" s="10" t="n">
        <v>4</v>
      </c>
      <c r="F6" s="10" t="n">
        <v>1457</v>
      </c>
      <c r="G6" s="10" t="n">
        <v>234</v>
      </c>
      <c r="H6" s="12" t="n">
        <v>0.83</v>
      </c>
      <c r="I6" s="12" t="n">
        <v>0.82</v>
      </c>
      <c r="J6" s="12" t="n">
        <v>0.88</v>
      </c>
      <c r="K6" s="12" t="n">
        <v>0.85</v>
      </c>
      <c r="L6" s="12" t="n">
        <v>0.26</v>
      </c>
      <c r="M6" s="12">
        <f>H6*$T$5+I6*$T$6+J6*$T$7+K6*$T$8+MIN(F6/$T$11,1)*$T$9+MIN(L6/0.3,1)*$T$10</f>
        <v/>
      </c>
      <c r="N6" s="10">
        <f>RANK(M6,$M$5:$M$154)</f>
        <v/>
      </c>
      <c r="O6" s="10">
        <f>SUMPRODUCT(($C$5:$C$154=C6)*($M$5:$M$154&gt;M6))+1</f>
        <v/>
      </c>
      <c r="P6" s="10">
        <f>ROUNDUP(N6/30,0)</f>
        <v/>
      </c>
      <c r="Q6" s="10">
        <f>IF(OR(M6&lt;0.75,H6&lt;0.8),"Coaching","On Track")</f>
        <v/>
      </c>
      <c r="R6">
        <f>C6&amp;"|"&amp;O6</f>
        <v/>
      </c>
      <c r="S6" s="8" t="inlineStr">
        <is>
          <t>CSAT</t>
        </is>
      </c>
      <c r="T6" s="9" t="n">
        <v>0.2</v>
      </c>
    </row>
    <row r="7">
      <c r="A7" s="5" t="inlineStr">
        <is>
          <t>A5003</t>
        </is>
      </c>
      <c r="B7" s="6" t="inlineStr">
        <is>
          <t>Lwazi Molefe</t>
        </is>
      </c>
      <c r="C7" s="6" t="inlineStr">
        <is>
          <t>Cell C Winback</t>
        </is>
      </c>
      <c r="D7" s="6" t="inlineStr">
        <is>
          <t>Zanele Govender</t>
        </is>
      </c>
      <c r="E7" s="5" t="n">
        <v>19</v>
      </c>
      <c r="F7" s="5" t="n">
        <v>960</v>
      </c>
      <c r="G7" s="5" t="n">
        <v>343</v>
      </c>
      <c r="H7" s="7" t="n">
        <v>0.8100000000000001</v>
      </c>
      <c r="I7" s="7" t="n">
        <v>0.89</v>
      </c>
      <c r="J7" s="7" t="n">
        <v>0.85</v>
      </c>
      <c r="K7" s="7" t="n">
        <v>0.86</v>
      </c>
      <c r="L7" s="7" t="n">
        <v>0.3</v>
      </c>
      <c r="M7" s="7">
        <f>H7*$T$5+I7*$T$6+J7*$T$7+K7*$T$8+MIN(F7/$T$11,1)*$T$9+MIN(L7/0.3,1)*$T$10</f>
        <v/>
      </c>
      <c r="N7" s="5">
        <f>RANK(M7,$M$5:$M$154)</f>
        <v/>
      </c>
      <c r="O7" s="5">
        <f>SUMPRODUCT(($C$5:$C$154=C7)*($M$5:$M$154&gt;M7))+1</f>
        <v/>
      </c>
      <c r="P7" s="5">
        <f>ROUNDUP(N7/30,0)</f>
        <v/>
      </c>
      <c r="Q7" s="5">
        <f>IF(OR(M7&lt;0.75,H7&lt;0.8),"Coaching","On Track")</f>
        <v/>
      </c>
      <c r="R7">
        <f>C7&amp;"|"&amp;O7</f>
        <v/>
      </c>
      <c r="S7" s="8" t="inlineStr">
        <is>
          <t>Adherence</t>
        </is>
      </c>
      <c r="T7" s="9" t="n">
        <v>0.15</v>
      </c>
    </row>
    <row r="8">
      <c r="A8" s="10" t="inlineStr">
        <is>
          <t>A5004</t>
        </is>
      </c>
      <c r="B8" s="11" t="inlineStr">
        <is>
          <t>Lindiwe Maseko</t>
        </is>
      </c>
      <c r="C8" s="11" t="inlineStr">
        <is>
          <t>Takealot Care</t>
        </is>
      </c>
      <c r="D8" s="11" t="inlineStr">
        <is>
          <t>Zodwa Molefe</t>
        </is>
      </c>
      <c r="E8" s="10" t="n">
        <v>17</v>
      </c>
      <c r="F8" s="10" t="n">
        <v>1419</v>
      </c>
      <c r="G8" s="10" t="n">
        <v>339</v>
      </c>
      <c r="H8" s="12" t="n">
        <v>0.8</v>
      </c>
      <c r="I8" s="12" t="n">
        <v>0.85</v>
      </c>
      <c r="J8" s="12" t="n">
        <v>0.83</v>
      </c>
      <c r="K8" s="12" t="n">
        <v>0.83</v>
      </c>
      <c r="L8" s="12" t="n">
        <v>0.3</v>
      </c>
      <c r="M8" s="12">
        <f>H8*$T$5+I8*$T$6+J8*$T$7+K8*$T$8+MIN(F8/$T$11,1)*$T$9+MIN(L8/0.3,1)*$T$10</f>
        <v/>
      </c>
      <c r="N8" s="10">
        <f>RANK(M8,$M$5:$M$154)</f>
        <v/>
      </c>
      <c r="O8" s="10">
        <f>SUMPRODUCT(($C$5:$C$154=C8)*($M$5:$M$154&gt;M8))+1</f>
        <v/>
      </c>
      <c r="P8" s="10">
        <f>ROUNDUP(N8/30,0)</f>
        <v/>
      </c>
      <c r="Q8" s="10">
        <f>IF(OR(M8&lt;0.75,H8&lt;0.8),"Coaching","On Track")</f>
        <v/>
      </c>
      <c r="R8">
        <f>C8&amp;"|"&amp;O8</f>
        <v/>
      </c>
      <c r="S8" s="8" t="inlineStr">
        <is>
          <t>Attendance</t>
        </is>
      </c>
      <c r="T8" s="9" t="n">
        <v>0.1</v>
      </c>
    </row>
    <row r="9">
      <c r="A9" s="5" t="inlineStr">
        <is>
          <t>A5005</t>
        </is>
      </c>
      <c r="B9" s="6" t="inlineStr">
        <is>
          <t>Gift Tshabalala</t>
        </is>
      </c>
      <c r="C9" s="6" t="inlineStr">
        <is>
          <t>ABSA Collections</t>
        </is>
      </c>
      <c r="D9" s="6" t="inlineStr">
        <is>
          <t>Zodwa Nel</t>
        </is>
      </c>
      <c r="E9" s="5" t="n">
        <v>33</v>
      </c>
      <c r="F9" s="5" t="n">
        <v>1618</v>
      </c>
      <c r="G9" s="5" t="n">
        <v>360</v>
      </c>
      <c r="H9" s="7" t="n">
        <v>0.93</v>
      </c>
      <c r="I9" s="7" t="n">
        <v>0.95</v>
      </c>
      <c r="J9" s="7" t="n">
        <v>0.98</v>
      </c>
      <c r="K9" s="7" t="n">
        <v>0.9399999999999999</v>
      </c>
      <c r="L9" s="7" t="n">
        <v>0.18</v>
      </c>
      <c r="M9" s="7">
        <f>H9*$T$5+I9*$T$6+J9*$T$7+K9*$T$8+MIN(F9/$T$11,1)*$T$9+MIN(L9/0.3,1)*$T$10</f>
        <v/>
      </c>
      <c r="N9" s="5">
        <f>RANK(M9,$M$5:$M$154)</f>
        <v/>
      </c>
      <c r="O9" s="5">
        <f>SUMPRODUCT(($C$5:$C$154=C9)*($M$5:$M$154&gt;M9))+1</f>
        <v/>
      </c>
      <c r="P9" s="5">
        <f>ROUNDUP(N9/30,0)</f>
        <v/>
      </c>
      <c r="Q9" s="5">
        <f>IF(OR(M9&lt;0.75,H9&lt;0.8),"Coaching","On Track")</f>
        <v/>
      </c>
      <c r="R9">
        <f>C9&amp;"|"&amp;O9</f>
        <v/>
      </c>
      <c r="S9" s="8" t="inlineStr">
        <is>
          <t>Productivity</t>
        </is>
      </c>
      <c r="T9" s="9" t="n">
        <v>0.15</v>
      </c>
    </row>
    <row r="10">
      <c r="A10" s="10" t="inlineStr">
        <is>
          <t>A5006</t>
        </is>
      </c>
      <c r="B10" s="11" t="inlineStr">
        <is>
          <t>Neo Tshabalala</t>
        </is>
      </c>
      <c r="C10" s="11" t="inlineStr">
        <is>
          <t>Telkom Tech Support</t>
        </is>
      </c>
      <c r="D10" s="11" t="inlineStr">
        <is>
          <t>Mandla Mokoena</t>
        </is>
      </c>
      <c r="E10" s="10" t="n">
        <v>13</v>
      </c>
      <c r="F10" s="10" t="n">
        <v>1858</v>
      </c>
      <c r="G10" s="10" t="n">
        <v>214</v>
      </c>
      <c r="H10" s="12" t="n">
        <v>0.91</v>
      </c>
      <c r="I10" s="12" t="n">
        <v>0.75</v>
      </c>
      <c r="J10" s="12" t="n">
        <v>0.82</v>
      </c>
      <c r="K10" s="12" t="n">
        <v>0.92</v>
      </c>
      <c r="L10" s="12" t="n">
        <v>0.29</v>
      </c>
      <c r="M10" s="12">
        <f>H10*$T$5+I10*$T$6+J10*$T$7+K10*$T$8+MIN(F10/$T$11,1)*$T$9+MIN(L10/0.3,1)*$T$10</f>
        <v/>
      </c>
      <c r="N10" s="10">
        <f>RANK(M10,$M$5:$M$154)</f>
        <v/>
      </c>
      <c r="O10" s="10">
        <f>SUMPRODUCT(($C$5:$C$154=C10)*($M$5:$M$154&gt;M10))+1</f>
        <v/>
      </c>
      <c r="P10" s="10">
        <f>ROUNDUP(N10/30,0)</f>
        <v/>
      </c>
      <c r="Q10" s="10">
        <f>IF(OR(M10&lt;0.75,H10&lt;0.8),"Coaching","On Track")</f>
        <v/>
      </c>
      <c r="R10">
        <f>C10&amp;"|"&amp;O10</f>
        <v/>
      </c>
      <c r="S10" s="8" t="inlineStr">
        <is>
          <t>Conversion</t>
        </is>
      </c>
      <c r="T10" s="9" t="n">
        <v>0.15</v>
      </c>
    </row>
    <row r="11">
      <c r="A11" s="5" t="inlineStr">
        <is>
          <t>A5007</t>
        </is>
      </c>
      <c r="B11" s="6" t="inlineStr">
        <is>
          <t>Amahle Molefe</t>
        </is>
      </c>
      <c r="C11" s="6" t="inlineStr">
        <is>
          <t>Telkom Tech Support</t>
        </is>
      </c>
      <c r="D11" s="6" t="inlineStr">
        <is>
          <t>Zodwa Nel</t>
        </is>
      </c>
      <c r="E11" s="5" t="n">
        <v>27</v>
      </c>
      <c r="F11" s="5" t="n">
        <v>1157</v>
      </c>
      <c r="G11" s="5" t="n">
        <v>268</v>
      </c>
      <c r="H11" s="7" t="n">
        <v>0.76</v>
      </c>
      <c r="I11" s="7" t="n">
        <v>0.92</v>
      </c>
      <c r="J11" s="7" t="n">
        <v>0.84</v>
      </c>
      <c r="K11" s="7" t="n">
        <v>0.99</v>
      </c>
      <c r="L11" s="7" t="n">
        <v>0.21</v>
      </c>
      <c r="M11" s="7">
        <f>H11*$T$5+I11*$T$6+J11*$T$7+K11*$T$8+MIN(F11/$T$11,1)*$T$9+MIN(L11/0.3,1)*$T$10</f>
        <v/>
      </c>
      <c r="N11" s="5">
        <f>RANK(M11,$M$5:$M$154)</f>
        <v/>
      </c>
      <c r="O11" s="5">
        <f>SUMPRODUCT(($C$5:$C$154=C11)*($M$5:$M$154&gt;M11))+1</f>
        <v/>
      </c>
      <c r="P11" s="5">
        <f>ROUNDUP(N11/30,0)</f>
        <v/>
      </c>
      <c r="Q11" s="5">
        <f>IF(OR(M11&lt;0.75,H11&lt;0.8),"Coaching","On Track")</f>
        <v/>
      </c>
      <c r="R11">
        <f>C11&amp;"|"&amp;O11</f>
        <v/>
      </c>
      <c r="S11" s="8" t="inlineStr">
        <is>
          <t>Calls benchmark</t>
        </is>
      </c>
      <c r="T11" s="13" t="n">
        <v>1800</v>
      </c>
    </row>
    <row r="12">
      <c r="A12" s="10" t="inlineStr">
        <is>
          <t>A5008</t>
        </is>
      </c>
      <c r="B12" s="11" t="inlineStr">
        <is>
          <t>Tshepo Jacobs</t>
        </is>
      </c>
      <c r="C12" s="11" t="inlineStr">
        <is>
          <t>ABSA Collections</t>
        </is>
      </c>
      <c r="D12" s="11" t="inlineStr">
        <is>
          <t>Zodwa Nel</t>
        </is>
      </c>
      <c r="E12" s="10" t="n">
        <v>6</v>
      </c>
      <c r="F12" s="10" t="n">
        <v>1177</v>
      </c>
      <c r="G12" s="10" t="n">
        <v>314</v>
      </c>
      <c r="H12" s="12" t="n">
        <v>0.76</v>
      </c>
      <c r="I12" s="12" t="n">
        <v>0.85</v>
      </c>
      <c r="J12" s="12" t="n">
        <v>0.96</v>
      </c>
      <c r="K12" s="12" t="n">
        <v>0.93</v>
      </c>
      <c r="L12" s="12" t="n">
        <v>0.24</v>
      </c>
      <c r="M12" s="12">
        <f>H12*$T$5+I12*$T$6+J12*$T$7+K12*$T$8+MIN(F12/$T$11,1)*$T$9+MIN(L12/0.3,1)*$T$10</f>
        <v/>
      </c>
      <c r="N12" s="10">
        <f>RANK(M12,$M$5:$M$154)</f>
        <v/>
      </c>
      <c r="O12" s="10">
        <f>SUMPRODUCT(($C$5:$C$154=C12)*($M$5:$M$154&gt;M12))+1</f>
        <v/>
      </c>
      <c r="P12" s="10">
        <f>ROUNDUP(N12/30,0)</f>
        <v/>
      </c>
      <c r="Q12" s="10">
        <f>IF(OR(M12&lt;0.75,H12&lt;0.8),"Coaching","On Track")</f>
        <v/>
      </c>
      <c r="R12">
        <f>C12&amp;"|"&amp;O12</f>
        <v/>
      </c>
      <c r="S12" s="14" t="inlineStr">
        <is>
          <t>Weight total</t>
        </is>
      </c>
      <c r="T12" s="15">
        <f>SUM(T5:T10)</f>
        <v/>
      </c>
    </row>
    <row r="13">
      <c r="A13" s="5" t="inlineStr">
        <is>
          <t>A5009</t>
        </is>
      </c>
      <c r="B13" s="6" t="inlineStr">
        <is>
          <t>Nokuthula Buthelezi</t>
        </is>
      </c>
      <c r="C13" s="6" t="inlineStr">
        <is>
          <t>ABSA Collections</t>
        </is>
      </c>
      <c r="D13" s="6" t="inlineStr">
        <is>
          <t>Refilwe Govender</t>
        </is>
      </c>
      <c r="E13" s="5" t="n">
        <v>37</v>
      </c>
      <c r="F13" s="5" t="n">
        <v>1854</v>
      </c>
      <c r="G13" s="5" t="n">
        <v>330</v>
      </c>
      <c r="H13" s="7" t="n">
        <v>0.85</v>
      </c>
      <c r="I13" s="7" t="n">
        <v>0.95</v>
      </c>
      <c r="J13" s="7" t="n">
        <v>0.96</v>
      </c>
      <c r="K13" s="7" t="n">
        <v>0.86</v>
      </c>
      <c r="L13" s="7" t="n">
        <v>0.21</v>
      </c>
      <c r="M13" s="7">
        <f>H13*$T$5+I13*$T$6+J13*$T$7+K13*$T$8+MIN(F13/$T$11,1)*$T$9+MIN(L13/0.3,1)*$T$10</f>
        <v/>
      </c>
      <c r="N13" s="5">
        <f>RANK(M13,$M$5:$M$154)</f>
        <v/>
      </c>
      <c r="O13" s="5">
        <f>SUMPRODUCT(($C$5:$C$154=C13)*($M$5:$M$154&gt;M13))+1</f>
        <v/>
      </c>
      <c r="P13" s="5">
        <f>ROUNDUP(N13/30,0)</f>
        <v/>
      </c>
      <c r="Q13" s="5">
        <f>IF(OR(M13&lt;0.75,H13&lt;0.8),"Coaching","On Track")</f>
        <v/>
      </c>
      <c r="R13">
        <f>C13&amp;"|"&amp;O13</f>
        <v/>
      </c>
    </row>
    <row r="14">
      <c r="A14" s="10" t="inlineStr">
        <is>
          <t>A5010</t>
        </is>
      </c>
      <c r="B14" s="11" t="inlineStr">
        <is>
          <t>Amahle Nel</t>
        </is>
      </c>
      <c r="C14" s="11" t="inlineStr">
        <is>
          <t>Telkom Tech Support</t>
        </is>
      </c>
      <c r="D14" s="11" t="inlineStr">
        <is>
          <t>Precious Khumalo</t>
        </is>
      </c>
      <c r="E14" s="10" t="n">
        <v>6</v>
      </c>
      <c r="F14" s="10" t="n">
        <v>1814</v>
      </c>
      <c r="G14" s="10" t="n">
        <v>303</v>
      </c>
      <c r="H14" s="12" t="n">
        <v>0.82</v>
      </c>
      <c r="I14" s="12" t="n">
        <v>0.73</v>
      </c>
      <c r="J14" s="12" t="n">
        <v>0.88</v>
      </c>
      <c r="K14" s="12" t="n">
        <v>0.93</v>
      </c>
      <c r="L14" s="12" t="n">
        <v>0.13</v>
      </c>
      <c r="M14" s="12">
        <f>H14*$T$5+I14*$T$6+J14*$T$7+K14*$T$8+MIN(F14/$T$11,1)*$T$9+MIN(L14/0.3,1)*$T$10</f>
        <v/>
      </c>
      <c r="N14" s="10">
        <f>RANK(M14,$M$5:$M$154)</f>
        <v/>
      </c>
      <c r="O14" s="10">
        <f>SUMPRODUCT(($C$5:$C$154=C14)*($M$5:$M$154&gt;M14))+1</f>
        <v/>
      </c>
      <c r="P14" s="10">
        <f>ROUNDUP(N14/30,0)</f>
        <v/>
      </c>
      <c r="Q14" s="10">
        <f>IF(OR(M14&lt;0.75,H14&lt;0.8),"Coaching","On Track")</f>
        <v/>
      </c>
      <c r="R14">
        <f>C14&amp;"|"&amp;O14</f>
        <v/>
      </c>
    </row>
    <row r="15">
      <c r="A15" s="5" t="inlineStr">
        <is>
          <t>A5011</t>
        </is>
      </c>
      <c r="B15" s="6" t="inlineStr">
        <is>
          <t>Siyabonga Nkosi</t>
        </is>
      </c>
      <c r="C15" s="6" t="inlineStr">
        <is>
          <t>MTN Retentions</t>
        </is>
      </c>
      <c r="D15" s="6" t="inlineStr">
        <is>
          <t>Gift Dlamini</t>
        </is>
      </c>
      <c r="E15" s="5" t="n">
        <v>3</v>
      </c>
      <c r="F15" s="5" t="n">
        <v>1904</v>
      </c>
      <c r="G15" s="5" t="n">
        <v>213</v>
      </c>
      <c r="H15" s="7" t="n">
        <v>0.77</v>
      </c>
      <c r="I15" s="7" t="n">
        <v>0.96</v>
      </c>
      <c r="J15" s="7" t="n">
        <v>0.91</v>
      </c>
      <c r="K15" s="7" t="n">
        <v>0.98</v>
      </c>
      <c r="L15" s="7" t="n">
        <v>0.03</v>
      </c>
      <c r="M15" s="7">
        <f>H15*$T$5+I15*$T$6+J15*$T$7+K15*$T$8+MIN(F15/$T$11,1)*$T$9+MIN(L15/0.3,1)*$T$10</f>
        <v/>
      </c>
      <c r="N15" s="5">
        <f>RANK(M15,$M$5:$M$154)</f>
        <v/>
      </c>
      <c r="O15" s="5">
        <f>SUMPRODUCT(($C$5:$C$154=C15)*($M$5:$M$154&gt;M15))+1</f>
        <v/>
      </c>
      <c r="P15" s="5">
        <f>ROUNDUP(N15/30,0)</f>
        <v/>
      </c>
      <c r="Q15" s="5">
        <f>IF(OR(M15&lt;0.75,H15&lt;0.8),"Coaching","On Track")</f>
        <v/>
      </c>
      <c r="R15">
        <f>C15&amp;"|"&amp;O15</f>
        <v/>
      </c>
    </row>
    <row r="16">
      <c r="A16" s="10" t="inlineStr">
        <is>
          <t>A5012</t>
        </is>
      </c>
      <c r="B16" s="11" t="inlineStr">
        <is>
          <t>Lesego Sibiya</t>
        </is>
      </c>
      <c r="C16" s="11" t="inlineStr">
        <is>
          <t>Vodacom Upgrades</t>
        </is>
      </c>
      <c r="D16" s="11" t="inlineStr">
        <is>
          <t>Thabo Buthelezi</t>
        </is>
      </c>
      <c r="E16" s="10" t="n">
        <v>1</v>
      </c>
      <c r="F16" s="10" t="n">
        <v>1411</v>
      </c>
      <c r="G16" s="10" t="n">
        <v>237</v>
      </c>
      <c r="H16" s="12" t="n">
        <v>0.89</v>
      </c>
      <c r="I16" s="12" t="n">
        <v>0.79</v>
      </c>
      <c r="J16" s="12" t="n">
        <v>0.82</v>
      </c>
      <c r="K16" s="12" t="n">
        <v>0.91</v>
      </c>
      <c r="L16" s="12" t="n">
        <v>0.23</v>
      </c>
      <c r="M16" s="12">
        <f>H16*$T$5+I16*$T$6+J16*$T$7+K16*$T$8+MIN(F16/$T$11,1)*$T$9+MIN(L16/0.3,1)*$T$10</f>
        <v/>
      </c>
      <c r="N16" s="10">
        <f>RANK(M16,$M$5:$M$154)</f>
        <v/>
      </c>
      <c r="O16" s="10">
        <f>SUMPRODUCT(($C$5:$C$154=C16)*($M$5:$M$154&gt;M16))+1</f>
        <v/>
      </c>
      <c r="P16" s="10">
        <f>ROUNDUP(N16/30,0)</f>
        <v/>
      </c>
      <c r="Q16" s="10">
        <f>IF(OR(M16&lt;0.75,H16&lt;0.8),"Coaching","On Track")</f>
        <v/>
      </c>
      <c r="R16">
        <f>C16&amp;"|"&amp;O16</f>
        <v/>
      </c>
    </row>
    <row r="17">
      <c r="A17" s="5" t="inlineStr">
        <is>
          <t>A5013</t>
        </is>
      </c>
      <c r="B17" s="6" t="inlineStr">
        <is>
          <t>Palesa Mokoena</t>
        </is>
      </c>
      <c r="C17" s="6" t="inlineStr">
        <is>
          <t>Shoprite Surveys</t>
        </is>
      </c>
      <c r="D17" s="6" t="inlineStr">
        <is>
          <t>Zanele Meyer</t>
        </is>
      </c>
      <c r="E17" s="5" t="n">
        <v>32</v>
      </c>
      <c r="F17" s="5" t="n">
        <v>929</v>
      </c>
      <c r="G17" s="5" t="n">
        <v>327</v>
      </c>
      <c r="H17" s="7" t="n">
        <v>0.91</v>
      </c>
      <c r="I17" s="7" t="n">
        <v>0.76</v>
      </c>
      <c r="J17" s="7" t="n">
        <v>0.97</v>
      </c>
      <c r="K17" s="7" t="n">
        <v>0.97</v>
      </c>
      <c r="L17" s="7" t="n">
        <v>0.14</v>
      </c>
      <c r="M17" s="7">
        <f>H17*$T$5+I17*$T$6+J17*$T$7+K17*$T$8+MIN(F17/$T$11,1)*$T$9+MIN(L17/0.3,1)*$T$10</f>
        <v/>
      </c>
      <c r="N17" s="5">
        <f>RANK(M17,$M$5:$M$154)</f>
        <v/>
      </c>
      <c r="O17" s="5">
        <f>SUMPRODUCT(($C$5:$C$154=C17)*($M$5:$M$154&gt;M17))+1</f>
        <v/>
      </c>
      <c r="P17" s="5">
        <f>ROUNDUP(N17/30,0)</f>
        <v/>
      </c>
      <c r="Q17" s="5">
        <f>IF(OR(M17&lt;0.75,H17&lt;0.8),"Coaching","On Track")</f>
        <v/>
      </c>
      <c r="R17">
        <f>C17&amp;"|"&amp;O17</f>
        <v/>
      </c>
    </row>
    <row r="18">
      <c r="A18" s="10" t="inlineStr">
        <is>
          <t>A5014</t>
        </is>
      </c>
      <c r="B18" s="11" t="inlineStr">
        <is>
          <t>Lerato Mabaso</t>
        </is>
      </c>
      <c r="C18" s="11" t="inlineStr">
        <is>
          <t>MTN Retentions</t>
        </is>
      </c>
      <c r="D18" s="11" t="inlineStr">
        <is>
          <t>Anele Govender</t>
        </is>
      </c>
      <c r="E18" s="10" t="n">
        <v>31</v>
      </c>
      <c r="F18" s="10" t="n">
        <v>1436</v>
      </c>
      <c r="G18" s="10" t="n">
        <v>231</v>
      </c>
      <c r="H18" s="12" t="n">
        <v>0.9</v>
      </c>
      <c r="I18" s="12" t="n">
        <v>0.85</v>
      </c>
      <c r="J18" s="12" t="n">
        <v>0.91</v>
      </c>
      <c r="K18" s="12" t="n">
        <v>0.88</v>
      </c>
      <c r="L18" s="12" t="n">
        <v>0.14</v>
      </c>
      <c r="M18" s="12">
        <f>H18*$T$5+I18*$T$6+J18*$T$7+K18*$T$8+MIN(F18/$T$11,1)*$T$9+MIN(L18/0.3,1)*$T$10</f>
        <v/>
      </c>
      <c r="N18" s="10">
        <f>RANK(M18,$M$5:$M$154)</f>
        <v/>
      </c>
      <c r="O18" s="10">
        <f>SUMPRODUCT(($C$5:$C$154=C18)*($M$5:$M$154&gt;M18))+1</f>
        <v/>
      </c>
      <c r="P18" s="10">
        <f>ROUNDUP(N18/30,0)</f>
        <v/>
      </c>
      <c r="Q18" s="10">
        <f>IF(OR(M18&lt;0.75,H18&lt;0.8),"Coaching","On Track")</f>
        <v/>
      </c>
      <c r="R18">
        <f>C18&amp;"|"&amp;O18</f>
        <v/>
      </c>
    </row>
    <row r="19">
      <c r="A19" s="5" t="inlineStr">
        <is>
          <t>A5015</t>
        </is>
      </c>
      <c r="B19" s="6" t="inlineStr">
        <is>
          <t>Bandile Botha</t>
        </is>
      </c>
      <c r="C19" s="6" t="inlineStr">
        <is>
          <t>DStv Upsell</t>
        </is>
      </c>
      <c r="D19" s="6" t="inlineStr">
        <is>
          <t>Anele Govender</t>
        </is>
      </c>
      <c r="E19" s="5" t="n">
        <v>23</v>
      </c>
      <c r="F19" s="5" t="n">
        <v>1733</v>
      </c>
      <c r="G19" s="5" t="n">
        <v>219</v>
      </c>
      <c r="H19" s="7" t="n">
        <v>0.83</v>
      </c>
      <c r="I19" s="7" t="n">
        <v>0.82</v>
      </c>
      <c r="J19" s="7" t="n">
        <v>0.93</v>
      </c>
      <c r="K19" s="7" t="n">
        <v>0.93</v>
      </c>
      <c r="L19" s="7" t="n">
        <v>0.23</v>
      </c>
      <c r="M19" s="7">
        <f>H19*$T$5+I19*$T$6+J19*$T$7+K19*$T$8+MIN(F19/$T$11,1)*$T$9+MIN(L19/0.3,1)*$T$10</f>
        <v/>
      </c>
      <c r="N19" s="5">
        <f>RANK(M19,$M$5:$M$154)</f>
        <v/>
      </c>
      <c r="O19" s="5">
        <f>SUMPRODUCT(($C$5:$C$154=C19)*($M$5:$M$154&gt;M19))+1</f>
        <v/>
      </c>
      <c r="P19" s="5">
        <f>ROUNDUP(N19/30,0)</f>
        <v/>
      </c>
      <c r="Q19" s="5">
        <f>IF(OR(M19&lt;0.75,H19&lt;0.8),"Coaching","On Track")</f>
        <v/>
      </c>
      <c r="R19">
        <f>C19&amp;"|"&amp;O19</f>
        <v/>
      </c>
    </row>
    <row r="20">
      <c r="A20" s="10" t="inlineStr">
        <is>
          <t>A5016</t>
        </is>
      </c>
      <c r="B20" s="11" t="inlineStr">
        <is>
          <t>Musa Mahlangu</t>
        </is>
      </c>
      <c r="C20" s="11" t="inlineStr">
        <is>
          <t>Shoprite Surveys</t>
        </is>
      </c>
      <c r="D20" s="11" t="inlineStr">
        <is>
          <t>Refilwe Govender</t>
        </is>
      </c>
      <c r="E20" s="10" t="n">
        <v>27</v>
      </c>
      <c r="F20" s="10" t="n">
        <v>1853</v>
      </c>
      <c r="G20" s="10" t="n">
        <v>251</v>
      </c>
      <c r="H20" s="12" t="n">
        <v>0.93</v>
      </c>
      <c r="I20" s="12" t="n">
        <v>0.98</v>
      </c>
      <c r="J20" s="12" t="n">
        <v>0.91</v>
      </c>
      <c r="K20" s="12" t="n">
        <v>0.87</v>
      </c>
      <c r="L20" s="12" t="n">
        <v>0.05</v>
      </c>
      <c r="M20" s="12">
        <f>H20*$T$5+I20*$T$6+J20*$T$7+K20*$T$8+MIN(F20/$T$11,1)*$T$9+MIN(L20/0.3,1)*$T$10</f>
        <v/>
      </c>
      <c r="N20" s="10">
        <f>RANK(M20,$M$5:$M$154)</f>
        <v/>
      </c>
      <c r="O20" s="10">
        <f>SUMPRODUCT(($C$5:$C$154=C20)*($M$5:$M$154&gt;M20))+1</f>
        <v/>
      </c>
      <c r="P20" s="10">
        <f>ROUNDUP(N20/30,0)</f>
        <v/>
      </c>
      <c r="Q20" s="10">
        <f>IF(OR(M20&lt;0.75,H20&lt;0.8),"Coaching","On Track")</f>
        <v/>
      </c>
      <c r="R20">
        <f>C20&amp;"|"&amp;O20</f>
        <v/>
      </c>
    </row>
    <row r="21">
      <c r="A21" s="5" t="inlineStr">
        <is>
          <t>A5017</t>
        </is>
      </c>
      <c r="B21" s="6" t="inlineStr">
        <is>
          <t>Vusi Dlamini</t>
        </is>
      </c>
      <c r="C21" s="6" t="inlineStr">
        <is>
          <t>Takealot Care</t>
        </is>
      </c>
      <c r="D21" s="6" t="inlineStr">
        <is>
          <t>Zodwa Molefe</t>
        </is>
      </c>
      <c r="E21" s="5" t="n">
        <v>36</v>
      </c>
      <c r="F21" s="5" t="n">
        <v>1447</v>
      </c>
      <c r="G21" s="5" t="n">
        <v>215</v>
      </c>
      <c r="H21" s="7" t="n">
        <v>0.76</v>
      </c>
      <c r="I21" s="7" t="n">
        <v>0.75</v>
      </c>
      <c r="J21" s="7" t="n">
        <v>0.92</v>
      </c>
      <c r="K21" s="7" t="n">
        <v>0.85</v>
      </c>
      <c r="L21" s="7" t="n">
        <v>0.07000000000000001</v>
      </c>
      <c r="M21" s="7">
        <f>H21*$T$5+I21*$T$6+J21*$T$7+K21*$T$8+MIN(F21/$T$11,1)*$T$9+MIN(L21/0.3,1)*$T$10</f>
        <v/>
      </c>
      <c r="N21" s="5">
        <f>RANK(M21,$M$5:$M$154)</f>
        <v/>
      </c>
      <c r="O21" s="5">
        <f>SUMPRODUCT(($C$5:$C$154=C21)*($M$5:$M$154&gt;M21))+1</f>
        <v/>
      </c>
      <c r="P21" s="5">
        <f>ROUNDUP(N21/30,0)</f>
        <v/>
      </c>
      <c r="Q21" s="5">
        <f>IF(OR(M21&lt;0.75,H21&lt;0.8),"Coaching","On Track")</f>
        <v/>
      </c>
      <c r="R21">
        <f>C21&amp;"|"&amp;O21</f>
        <v/>
      </c>
    </row>
    <row r="22">
      <c r="A22" s="10" t="inlineStr">
        <is>
          <t>A5018</t>
        </is>
      </c>
      <c r="B22" s="11" t="inlineStr">
        <is>
          <t>Palesa Naidoo</t>
        </is>
      </c>
      <c r="C22" s="11" t="inlineStr">
        <is>
          <t>Discovery Lead Gen</t>
        </is>
      </c>
      <c r="D22" s="11" t="inlineStr">
        <is>
          <t>Thabo Buthelezi</t>
        </is>
      </c>
      <c r="E22" s="10" t="n">
        <v>33</v>
      </c>
      <c r="F22" s="10" t="n">
        <v>1532</v>
      </c>
      <c r="G22" s="10" t="n">
        <v>272</v>
      </c>
      <c r="H22" s="12" t="n">
        <v>0.76</v>
      </c>
      <c r="I22" s="12" t="n">
        <v>0.88</v>
      </c>
      <c r="J22" s="12" t="n">
        <v>0.9</v>
      </c>
      <c r="K22" s="12" t="n">
        <v>0.89</v>
      </c>
      <c r="L22" s="12" t="n">
        <v>0.2</v>
      </c>
      <c r="M22" s="12">
        <f>H22*$T$5+I22*$T$6+J22*$T$7+K22*$T$8+MIN(F22/$T$11,1)*$T$9+MIN(L22/0.3,1)*$T$10</f>
        <v/>
      </c>
      <c r="N22" s="10">
        <f>RANK(M22,$M$5:$M$154)</f>
        <v/>
      </c>
      <c r="O22" s="10">
        <f>SUMPRODUCT(($C$5:$C$154=C22)*($M$5:$M$154&gt;M22))+1</f>
        <v/>
      </c>
      <c r="P22" s="10">
        <f>ROUNDUP(N22/30,0)</f>
        <v/>
      </c>
      <c r="Q22" s="10">
        <f>IF(OR(M22&lt;0.75,H22&lt;0.8),"Coaching","On Track")</f>
        <v/>
      </c>
      <c r="R22">
        <f>C22&amp;"|"&amp;O22</f>
        <v/>
      </c>
    </row>
    <row r="23">
      <c r="A23" s="5" t="inlineStr">
        <is>
          <t>A5019</t>
        </is>
      </c>
      <c r="B23" s="6" t="inlineStr">
        <is>
          <t>Thabo Meyer</t>
        </is>
      </c>
      <c r="C23" s="6" t="inlineStr">
        <is>
          <t>Standard Bank Helpdesk</t>
        </is>
      </c>
      <c r="D23" s="6" t="inlineStr">
        <is>
          <t>Zodwa Molefe</t>
        </is>
      </c>
      <c r="E23" s="5" t="n">
        <v>14</v>
      </c>
      <c r="F23" s="5" t="n">
        <v>1993</v>
      </c>
      <c r="G23" s="5" t="n">
        <v>289</v>
      </c>
      <c r="H23" s="7" t="n">
        <v>0.9399999999999999</v>
      </c>
      <c r="I23" s="7" t="n">
        <v>0.76</v>
      </c>
      <c r="J23" s="7" t="n">
        <v>0.82</v>
      </c>
      <c r="K23" s="7" t="n">
        <v>0.88</v>
      </c>
      <c r="L23" s="7" t="n">
        <v>0.21</v>
      </c>
      <c r="M23" s="7">
        <f>H23*$T$5+I23*$T$6+J23*$T$7+K23*$T$8+MIN(F23/$T$11,1)*$T$9+MIN(L23/0.3,1)*$T$10</f>
        <v/>
      </c>
      <c r="N23" s="5">
        <f>RANK(M23,$M$5:$M$154)</f>
        <v/>
      </c>
      <c r="O23" s="5">
        <f>SUMPRODUCT(($C$5:$C$154=C23)*($M$5:$M$154&gt;M23))+1</f>
        <v/>
      </c>
      <c r="P23" s="5">
        <f>ROUNDUP(N23/30,0)</f>
        <v/>
      </c>
      <c r="Q23" s="5">
        <f>IF(OR(M23&lt;0.75,H23&lt;0.8),"Coaching","On Track")</f>
        <v/>
      </c>
      <c r="R23">
        <f>C23&amp;"|"&amp;O23</f>
        <v/>
      </c>
    </row>
    <row r="24">
      <c r="A24" s="10" t="inlineStr">
        <is>
          <t>A5020</t>
        </is>
      </c>
      <c r="B24" s="11" t="inlineStr">
        <is>
          <t>Amahle Jacobs</t>
        </is>
      </c>
      <c r="C24" s="11" t="inlineStr">
        <is>
          <t>MTN Retentions</t>
        </is>
      </c>
      <c r="D24" s="11" t="inlineStr">
        <is>
          <t>Mandla Mokoena</t>
        </is>
      </c>
      <c r="E24" s="10" t="n">
        <v>21</v>
      </c>
      <c r="F24" s="10" t="n">
        <v>2078</v>
      </c>
      <c r="G24" s="10" t="n">
        <v>285</v>
      </c>
      <c r="H24" s="12" t="n">
        <v>0.95</v>
      </c>
      <c r="I24" s="12" t="n">
        <v>0.82</v>
      </c>
      <c r="J24" s="12" t="n">
        <v>0.85</v>
      </c>
      <c r="K24" s="12" t="n">
        <v>0.85</v>
      </c>
      <c r="L24" s="12" t="n">
        <v>0.18</v>
      </c>
      <c r="M24" s="12">
        <f>H24*$T$5+I24*$T$6+J24*$T$7+K24*$T$8+MIN(F24/$T$11,1)*$T$9+MIN(L24/0.3,1)*$T$10</f>
        <v/>
      </c>
      <c r="N24" s="10">
        <f>RANK(M24,$M$5:$M$154)</f>
        <v/>
      </c>
      <c r="O24" s="10">
        <f>SUMPRODUCT(($C$5:$C$154=C24)*($M$5:$M$154&gt;M24))+1</f>
        <v/>
      </c>
      <c r="P24" s="10">
        <f>ROUNDUP(N24/30,0)</f>
        <v/>
      </c>
      <c r="Q24" s="10">
        <f>IF(OR(M24&lt;0.75,H24&lt;0.8),"Coaching","On Track")</f>
        <v/>
      </c>
      <c r="R24">
        <f>C24&amp;"|"&amp;O24</f>
        <v/>
      </c>
    </row>
    <row r="25">
      <c r="A25" s="5" t="inlineStr">
        <is>
          <t>A5021</t>
        </is>
      </c>
      <c r="B25" s="6" t="inlineStr">
        <is>
          <t>Dineo Pillay</t>
        </is>
      </c>
      <c r="C25" s="6" t="inlineStr">
        <is>
          <t>Nedbank Debt Review</t>
        </is>
      </c>
      <c r="D25" s="6" t="inlineStr">
        <is>
          <t>Lerato Nel</t>
        </is>
      </c>
      <c r="E25" s="5" t="n">
        <v>15</v>
      </c>
      <c r="F25" s="5" t="n">
        <v>1154</v>
      </c>
      <c r="G25" s="5" t="n">
        <v>309</v>
      </c>
      <c r="H25" s="7" t="n">
        <v>0.76</v>
      </c>
      <c r="I25" s="7" t="n">
        <v>0.8100000000000001</v>
      </c>
      <c r="J25" s="7" t="n">
        <v>0.82</v>
      </c>
      <c r="K25" s="7" t="n">
        <v>0.85</v>
      </c>
      <c r="L25" s="7" t="n">
        <v>0.22</v>
      </c>
      <c r="M25" s="7">
        <f>H25*$T$5+I25*$T$6+J25*$T$7+K25*$T$8+MIN(F25/$T$11,1)*$T$9+MIN(L25/0.3,1)*$T$10</f>
        <v/>
      </c>
      <c r="N25" s="5">
        <f>RANK(M25,$M$5:$M$154)</f>
        <v/>
      </c>
      <c r="O25" s="5">
        <f>SUMPRODUCT(($C$5:$C$154=C25)*($M$5:$M$154&gt;M25))+1</f>
        <v/>
      </c>
      <c r="P25" s="5">
        <f>ROUNDUP(N25/30,0)</f>
        <v/>
      </c>
      <c r="Q25" s="5">
        <f>IF(OR(M25&lt;0.75,H25&lt;0.8),"Coaching","On Track")</f>
        <v/>
      </c>
      <c r="R25">
        <f>C25&amp;"|"&amp;O25</f>
        <v/>
      </c>
    </row>
    <row r="26">
      <c r="A26" s="10" t="inlineStr">
        <is>
          <t>A5022</t>
        </is>
      </c>
      <c r="B26" s="11" t="inlineStr">
        <is>
          <t>Onalenna Naidoo</t>
        </is>
      </c>
      <c r="C26" s="11" t="inlineStr">
        <is>
          <t>Shoprite Surveys</t>
        </is>
      </c>
      <c r="D26" s="11" t="inlineStr">
        <is>
          <t>Precious Khumalo</t>
        </is>
      </c>
      <c r="E26" s="10" t="n">
        <v>33</v>
      </c>
      <c r="F26" s="10" t="n">
        <v>2030</v>
      </c>
      <c r="G26" s="10" t="n">
        <v>276</v>
      </c>
      <c r="H26" s="12" t="n">
        <v>0.86</v>
      </c>
      <c r="I26" s="12" t="n">
        <v>0.97</v>
      </c>
      <c r="J26" s="12" t="n">
        <v>0.91</v>
      </c>
      <c r="K26" s="12" t="n">
        <v>0.95</v>
      </c>
      <c r="L26" s="12" t="n">
        <v>0.22</v>
      </c>
      <c r="M26" s="12">
        <f>H26*$T$5+I26*$T$6+J26*$T$7+K26*$T$8+MIN(F26/$T$11,1)*$T$9+MIN(L26/0.3,1)*$T$10</f>
        <v/>
      </c>
      <c r="N26" s="10">
        <f>RANK(M26,$M$5:$M$154)</f>
        <v/>
      </c>
      <c r="O26" s="10">
        <f>SUMPRODUCT(($C$5:$C$154=C26)*($M$5:$M$154&gt;M26))+1</f>
        <v/>
      </c>
      <c r="P26" s="10">
        <f>ROUNDUP(N26/30,0)</f>
        <v/>
      </c>
      <c r="Q26" s="10">
        <f>IF(OR(M26&lt;0.75,H26&lt;0.8),"Coaching","On Track")</f>
        <v/>
      </c>
      <c r="R26">
        <f>C26&amp;"|"&amp;O26</f>
        <v/>
      </c>
    </row>
    <row r="27">
      <c r="A27" s="5" t="inlineStr">
        <is>
          <t>A5023</t>
        </is>
      </c>
      <c r="B27" s="6" t="inlineStr">
        <is>
          <t>Lindiwe Van Wyk</t>
        </is>
      </c>
      <c r="C27" s="6" t="inlineStr">
        <is>
          <t>Standard Bank Helpdesk</t>
        </is>
      </c>
      <c r="D27" s="6" t="inlineStr">
        <is>
          <t>Vusi Molefe</t>
        </is>
      </c>
      <c r="E27" s="5" t="n">
        <v>16</v>
      </c>
      <c r="F27" s="5" t="n">
        <v>1484</v>
      </c>
      <c r="G27" s="5" t="n">
        <v>265</v>
      </c>
      <c r="H27" s="7" t="n">
        <v>0.98</v>
      </c>
      <c r="I27" s="7" t="n">
        <v>0.7</v>
      </c>
      <c r="J27" s="7" t="n">
        <v>0.83</v>
      </c>
      <c r="K27" s="7" t="n">
        <v>0.91</v>
      </c>
      <c r="L27" s="7" t="n">
        <v>0.08</v>
      </c>
      <c r="M27" s="7">
        <f>H27*$T$5+I27*$T$6+J27*$T$7+K27*$T$8+MIN(F27/$T$11,1)*$T$9+MIN(L27/0.3,1)*$T$10</f>
        <v/>
      </c>
      <c r="N27" s="5">
        <f>RANK(M27,$M$5:$M$154)</f>
        <v/>
      </c>
      <c r="O27" s="5">
        <f>SUMPRODUCT(($C$5:$C$154=C27)*($M$5:$M$154&gt;M27))+1</f>
        <v/>
      </c>
      <c r="P27" s="5">
        <f>ROUNDUP(N27/30,0)</f>
        <v/>
      </c>
      <c r="Q27" s="5">
        <f>IF(OR(M27&lt;0.75,H27&lt;0.8),"Coaching","On Track")</f>
        <v/>
      </c>
      <c r="R27">
        <f>C27&amp;"|"&amp;O27</f>
        <v/>
      </c>
    </row>
    <row r="28">
      <c r="A28" s="10" t="inlineStr">
        <is>
          <t>A5024</t>
        </is>
      </c>
      <c r="B28" s="11" t="inlineStr">
        <is>
          <t>Bandile Pillay</t>
        </is>
      </c>
      <c r="C28" s="11" t="inlineStr">
        <is>
          <t>ABSA Collections</t>
        </is>
      </c>
      <c r="D28" s="11" t="inlineStr">
        <is>
          <t>Zodwa Nel</t>
        </is>
      </c>
      <c r="E28" s="10" t="n">
        <v>5</v>
      </c>
      <c r="F28" s="10" t="n">
        <v>1561</v>
      </c>
      <c r="G28" s="10" t="n">
        <v>301</v>
      </c>
      <c r="H28" s="12" t="n">
        <v>0.73</v>
      </c>
      <c r="I28" s="12" t="n">
        <v>0.92</v>
      </c>
      <c r="J28" s="12" t="n">
        <v>0.87</v>
      </c>
      <c r="K28" s="12" t="n">
        <v>0.93</v>
      </c>
      <c r="L28" s="12" t="n">
        <v>0.05</v>
      </c>
      <c r="M28" s="12">
        <f>H28*$T$5+I28*$T$6+J28*$T$7+K28*$T$8+MIN(F28/$T$11,1)*$T$9+MIN(L28/0.3,1)*$T$10</f>
        <v/>
      </c>
      <c r="N28" s="10">
        <f>RANK(M28,$M$5:$M$154)</f>
        <v/>
      </c>
      <c r="O28" s="10">
        <f>SUMPRODUCT(($C$5:$C$154=C28)*($M$5:$M$154&gt;M28))+1</f>
        <v/>
      </c>
      <c r="P28" s="10">
        <f>ROUNDUP(N28/30,0)</f>
        <v/>
      </c>
      <c r="Q28" s="10">
        <f>IF(OR(M28&lt;0.75,H28&lt;0.8),"Coaching","On Track")</f>
        <v/>
      </c>
      <c r="R28">
        <f>C28&amp;"|"&amp;O28</f>
        <v/>
      </c>
    </row>
    <row r="29">
      <c r="A29" s="5" t="inlineStr">
        <is>
          <t>A5025</t>
        </is>
      </c>
      <c r="B29" s="6" t="inlineStr">
        <is>
          <t>Wandile Radebe</t>
        </is>
      </c>
      <c r="C29" s="6" t="inlineStr">
        <is>
          <t>MTN Retentions</t>
        </is>
      </c>
      <c r="D29" s="6" t="inlineStr">
        <is>
          <t>Anele Govender</t>
        </is>
      </c>
      <c r="E29" s="5" t="n">
        <v>29</v>
      </c>
      <c r="F29" s="5" t="n">
        <v>1815</v>
      </c>
      <c r="G29" s="5" t="n">
        <v>244</v>
      </c>
      <c r="H29" s="7" t="n">
        <v>0.88</v>
      </c>
      <c r="I29" s="7" t="n">
        <v>0.8</v>
      </c>
      <c r="J29" s="7" t="n">
        <v>0.84</v>
      </c>
      <c r="K29" s="7" t="n">
        <v>0.99</v>
      </c>
      <c r="L29" s="7" t="n">
        <v>0.03</v>
      </c>
      <c r="M29" s="7">
        <f>H29*$T$5+I29*$T$6+J29*$T$7+K29*$T$8+MIN(F29/$T$11,1)*$T$9+MIN(L29/0.3,1)*$T$10</f>
        <v/>
      </c>
      <c r="N29" s="5">
        <f>RANK(M29,$M$5:$M$154)</f>
        <v/>
      </c>
      <c r="O29" s="5">
        <f>SUMPRODUCT(($C$5:$C$154=C29)*($M$5:$M$154&gt;M29))+1</f>
        <v/>
      </c>
      <c r="P29" s="5">
        <f>ROUNDUP(N29/30,0)</f>
        <v/>
      </c>
      <c r="Q29" s="5">
        <f>IF(OR(M29&lt;0.75,H29&lt;0.8),"Coaching","On Track")</f>
        <v/>
      </c>
      <c r="R29">
        <f>C29&amp;"|"&amp;O29</f>
        <v/>
      </c>
    </row>
    <row r="30">
      <c r="A30" s="10" t="inlineStr">
        <is>
          <t>A5026</t>
        </is>
      </c>
      <c r="B30" s="11" t="inlineStr">
        <is>
          <t>Ayanda Pillay</t>
        </is>
      </c>
      <c r="C30" s="11" t="inlineStr">
        <is>
          <t>Telkom Tech Support</t>
        </is>
      </c>
      <c r="D30" s="11" t="inlineStr">
        <is>
          <t>Precious Khumalo</t>
        </is>
      </c>
      <c r="E30" s="10" t="n">
        <v>30</v>
      </c>
      <c r="F30" s="10" t="n">
        <v>1411</v>
      </c>
      <c r="G30" s="10" t="n">
        <v>335</v>
      </c>
      <c r="H30" s="12" t="n">
        <v>0.74</v>
      </c>
      <c r="I30" s="12" t="n">
        <v>0.79</v>
      </c>
      <c r="J30" s="12" t="n">
        <v>0.98</v>
      </c>
      <c r="K30" s="12" t="n">
        <v>0.82</v>
      </c>
      <c r="L30" s="12" t="n">
        <v>0.18</v>
      </c>
      <c r="M30" s="12">
        <f>H30*$T$5+I30*$T$6+J30*$T$7+K30*$T$8+MIN(F30/$T$11,1)*$T$9+MIN(L30/0.3,1)*$T$10</f>
        <v/>
      </c>
      <c r="N30" s="10">
        <f>RANK(M30,$M$5:$M$154)</f>
        <v/>
      </c>
      <c r="O30" s="10">
        <f>SUMPRODUCT(($C$5:$C$154=C30)*($M$5:$M$154&gt;M30))+1</f>
        <v/>
      </c>
      <c r="P30" s="10">
        <f>ROUNDUP(N30/30,0)</f>
        <v/>
      </c>
      <c r="Q30" s="10">
        <f>IF(OR(M30&lt;0.75,H30&lt;0.8),"Coaching","On Track")</f>
        <v/>
      </c>
      <c r="R30">
        <f>C30&amp;"|"&amp;O30</f>
        <v/>
      </c>
    </row>
    <row r="31">
      <c r="A31" s="5" t="inlineStr">
        <is>
          <t>A5027</t>
        </is>
      </c>
      <c r="B31" s="6" t="inlineStr">
        <is>
          <t>Mandla Motaung</t>
        </is>
      </c>
      <c r="C31" s="6" t="inlineStr">
        <is>
          <t>DStv Upsell</t>
        </is>
      </c>
      <c r="D31" s="6" t="inlineStr">
        <is>
          <t>Zodwa Nel</t>
        </is>
      </c>
      <c r="E31" s="5" t="n">
        <v>22</v>
      </c>
      <c r="F31" s="5" t="n">
        <v>1658</v>
      </c>
      <c r="G31" s="5" t="n">
        <v>212</v>
      </c>
      <c r="H31" s="7" t="n">
        <v>0.74</v>
      </c>
      <c r="I31" s="7" t="n">
        <v>0.73</v>
      </c>
      <c r="J31" s="7" t="n">
        <v>0.96</v>
      </c>
      <c r="K31" s="7" t="n">
        <v>0.93</v>
      </c>
      <c r="L31" s="7" t="n">
        <v>0.16</v>
      </c>
      <c r="M31" s="7">
        <f>H31*$T$5+I31*$T$6+J31*$T$7+K31*$T$8+MIN(F31/$T$11,1)*$T$9+MIN(L31/0.3,1)*$T$10</f>
        <v/>
      </c>
      <c r="N31" s="5">
        <f>RANK(M31,$M$5:$M$154)</f>
        <v/>
      </c>
      <c r="O31" s="5">
        <f>SUMPRODUCT(($C$5:$C$154=C31)*($M$5:$M$154&gt;M31))+1</f>
        <v/>
      </c>
      <c r="P31" s="5">
        <f>ROUNDUP(N31/30,0)</f>
        <v/>
      </c>
      <c r="Q31" s="5">
        <f>IF(OR(M31&lt;0.75,H31&lt;0.8),"Coaching","On Track")</f>
        <v/>
      </c>
      <c r="R31">
        <f>C31&amp;"|"&amp;O31</f>
        <v/>
      </c>
    </row>
    <row r="32">
      <c r="A32" s="10" t="inlineStr">
        <is>
          <t>A5028</t>
        </is>
      </c>
      <c r="B32" s="11" t="inlineStr">
        <is>
          <t>Dineo Meyer</t>
        </is>
      </c>
      <c r="C32" s="11" t="inlineStr">
        <is>
          <t>Cell C Winback</t>
        </is>
      </c>
      <c r="D32" s="11" t="inlineStr">
        <is>
          <t>Zanele Meyer</t>
        </is>
      </c>
      <c r="E32" s="10" t="n">
        <v>29</v>
      </c>
      <c r="F32" s="10" t="n">
        <v>1206</v>
      </c>
      <c r="G32" s="10" t="n">
        <v>273</v>
      </c>
      <c r="H32" s="12" t="n">
        <v>0.83</v>
      </c>
      <c r="I32" s="12" t="n">
        <v>0.9399999999999999</v>
      </c>
      <c r="J32" s="12" t="n">
        <v>0.86</v>
      </c>
      <c r="K32" s="12" t="n">
        <v>0.89</v>
      </c>
      <c r="L32" s="12" t="n">
        <v>0.11</v>
      </c>
      <c r="M32" s="12">
        <f>H32*$T$5+I32*$T$6+J32*$T$7+K32*$T$8+MIN(F32/$T$11,1)*$T$9+MIN(L32/0.3,1)*$T$10</f>
        <v/>
      </c>
      <c r="N32" s="10">
        <f>RANK(M32,$M$5:$M$154)</f>
        <v/>
      </c>
      <c r="O32" s="10">
        <f>SUMPRODUCT(($C$5:$C$154=C32)*($M$5:$M$154&gt;M32))+1</f>
        <v/>
      </c>
      <c r="P32" s="10">
        <f>ROUNDUP(N32/30,0)</f>
        <v/>
      </c>
      <c r="Q32" s="10">
        <f>IF(OR(M32&lt;0.75,H32&lt;0.8),"Coaching","On Track")</f>
        <v/>
      </c>
      <c r="R32">
        <f>C32&amp;"|"&amp;O32</f>
        <v/>
      </c>
    </row>
    <row r="33">
      <c r="A33" s="5" t="inlineStr">
        <is>
          <t>A5029</t>
        </is>
      </c>
      <c r="B33" s="6" t="inlineStr">
        <is>
          <t>Gift Maseko</t>
        </is>
      </c>
      <c r="C33" s="6" t="inlineStr">
        <is>
          <t>OUTsurance Sales</t>
        </is>
      </c>
      <c r="D33" s="6" t="inlineStr">
        <is>
          <t>Anele Govender</t>
        </is>
      </c>
      <c r="E33" s="5" t="n">
        <v>2</v>
      </c>
      <c r="F33" s="5" t="n">
        <v>1334</v>
      </c>
      <c r="G33" s="5" t="n">
        <v>289</v>
      </c>
      <c r="H33" s="7" t="n">
        <v>0.75</v>
      </c>
      <c r="I33" s="7" t="n">
        <v>0.74</v>
      </c>
      <c r="J33" s="7" t="n">
        <v>0.9399999999999999</v>
      </c>
      <c r="K33" s="7" t="n">
        <v>0.91</v>
      </c>
      <c r="L33" s="7" t="n">
        <v>0.18</v>
      </c>
      <c r="M33" s="7">
        <f>H33*$T$5+I33*$T$6+J33*$T$7+K33*$T$8+MIN(F33/$T$11,1)*$T$9+MIN(L33/0.3,1)*$T$10</f>
        <v/>
      </c>
      <c r="N33" s="5">
        <f>RANK(M33,$M$5:$M$154)</f>
        <v/>
      </c>
      <c r="O33" s="5">
        <f>SUMPRODUCT(($C$5:$C$154=C33)*($M$5:$M$154&gt;M33))+1</f>
        <v/>
      </c>
      <c r="P33" s="5">
        <f>ROUNDUP(N33/30,0)</f>
        <v/>
      </c>
      <c r="Q33" s="5">
        <f>IF(OR(M33&lt;0.75,H33&lt;0.8),"Coaching","On Track")</f>
        <v/>
      </c>
      <c r="R33">
        <f>C33&amp;"|"&amp;O33</f>
        <v/>
      </c>
    </row>
    <row r="34">
      <c r="A34" s="10" t="inlineStr">
        <is>
          <t>A5030</t>
        </is>
      </c>
      <c r="B34" s="11" t="inlineStr">
        <is>
          <t>Musa Pillay</t>
        </is>
      </c>
      <c r="C34" s="11" t="inlineStr">
        <is>
          <t>OUTsurance Sales</t>
        </is>
      </c>
      <c r="D34" s="11" t="inlineStr">
        <is>
          <t>Precious Khumalo</t>
        </is>
      </c>
      <c r="E34" s="10" t="n">
        <v>12</v>
      </c>
      <c r="F34" s="10" t="n">
        <v>1912</v>
      </c>
      <c r="G34" s="10" t="n">
        <v>260</v>
      </c>
      <c r="H34" s="12" t="n">
        <v>0.95</v>
      </c>
      <c r="I34" s="12" t="n">
        <v>0.89</v>
      </c>
      <c r="J34" s="12" t="n">
        <v>0.84</v>
      </c>
      <c r="K34" s="12" t="n">
        <v>0.84</v>
      </c>
      <c r="L34" s="12" t="n">
        <v>0.06</v>
      </c>
      <c r="M34" s="12">
        <f>H34*$T$5+I34*$T$6+J34*$T$7+K34*$T$8+MIN(F34/$T$11,1)*$T$9+MIN(L34/0.3,1)*$T$10</f>
        <v/>
      </c>
      <c r="N34" s="10">
        <f>RANK(M34,$M$5:$M$154)</f>
        <v/>
      </c>
      <c r="O34" s="10">
        <f>SUMPRODUCT(($C$5:$C$154=C34)*($M$5:$M$154&gt;M34))+1</f>
        <v/>
      </c>
      <c r="P34" s="10">
        <f>ROUNDUP(N34/30,0)</f>
        <v/>
      </c>
      <c r="Q34" s="10">
        <f>IF(OR(M34&lt;0.75,H34&lt;0.8),"Coaching","On Track")</f>
        <v/>
      </c>
      <c r="R34">
        <f>C34&amp;"|"&amp;O34</f>
        <v/>
      </c>
    </row>
    <row r="35">
      <c r="A35" s="5" t="inlineStr">
        <is>
          <t>A5031</t>
        </is>
      </c>
      <c r="B35" s="6" t="inlineStr">
        <is>
          <t>Kagiso Tshabalala</t>
        </is>
      </c>
      <c r="C35" s="6" t="inlineStr">
        <is>
          <t>DStv Upsell</t>
        </is>
      </c>
      <c r="D35" s="6" t="inlineStr">
        <is>
          <t>Zodwa Nel</t>
        </is>
      </c>
      <c r="E35" s="5" t="n">
        <v>1</v>
      </c>
      <c r="F35" s="5" t="n">
        <v>1370</v>
      </c>
      <c r="G35" s="5" t="n">
        <v>332</v>
      </c>
      <c r="H35" s="7" t="n">
        <v>0.89</v>
      </c>
      <c r="I35" s="7" t="n">
        <v>0.83</v>
      </c>
      <c r="J35" s="7" t="n">
        <v>0.82</v>
      </c>
      <c r="K35" s="7" t="n">
        <v>0.91</v>
      </c>
      <c r="L35" s="7" t="n">
        <v>0.23</v>
      </c>
      <c r="M35" s="7">
        <f>H35*$T$5+I35*$T$6+J35*$T$7+K35*$T$8+MIN(F35/$T$11,1)*$T$9+MIN(L35/0.3,1)*$T$10</f>
        <v/>
      </c>
      <c r="N35" s="5">
        <f>RANK(M35,$M$5:$M$154)</f>
        <v/>
      </c>
      <c r="O35" s="5">
        <f>SUMPRODUCT(($C$5:$C$154=C35)*($M$5:$M$154&gt;M35))+1</f>
        <v/>
      </c>
      <c r="P35" s="5">
        <f>ROUNDUP(N35/30,0)</f>
        <v/>
      </c>
      <c r="Q35" s="5">
        <f>IF(OR(M35&lt;0.75,H35&lt;0.8),"Coaching","On Track")</f>
        <v/>
      </c>
      <c r="R35">
        <f>C35&amp;"|"&amp;O35</f>
        <v/>
      </c>
    </row>
    <row r="36">
      <c r="A36" s="10" t="inlineStr">
        <is>
          <t>A5032</t>
        </is>
      </c>
      <c r="B36" s="11" t="inlineStr">
        <is>
          <t>Nokuthula Adams</t>
        </is>
      </c>
      <c r="C36" s="11" t="inlineStr">
        <is>
          <t>Vodacom Upgrades</t>
        </is>
      </c>
      <c r="D36" s="11" t="inlineStr">
        <is>
          <t>Refilwe Govender</t>
        </is>
      </c>
      <c r="E36" s="10" t="n">
        <v>30</v>
      </c>
      <c r="F36" s="10" t="n">
        <v>2048</v>
      </c>
      <c r="G36" s="10" t="n">
        <v>338</v>
      </c>
      <c r="H36" s="12" t="n">
        <v>0.89</v>
      </c>
      <c r="I36" s="12" t="n">
        <v>0.71</v>
      </c>
      <c r="J36" s="12" t="n">
        <v>0.97</v>
      </c>
      <c r="K36" s="12" t="n">
        <v>0.99</v>
      </c>
      <c r="L36" s="12" t="n">
        <v>0.29</v>
      </c>
      <c r="M36" s="12">
        <f>H36*$T$5+I36*$T$6+J36*$T$7+K36*$T$8+MIN(F36/$T$11,1)*$T$9+MIN(L36/0.3,1)*$T$10</f>
        <v/>
      </c>
      <c r="N36" s="10">
        <f>RANK(M36,$M$5:$M$154)</f>
        <v/>
      </c>
      <c r="O36" s="10">
        <f>SUMPRODUCT(($C$5:$C$154=C36)*($M$5:$M$154&gt;M36))+1</f>
        <v/>
      </c>
      <c r="P36" s="10">
        <f>ROUNDUP(N36/30,0)</f>
        <v/>
      </c>
      <c r="Q36" s="10">
        <f>IF(OR(M36&lt;0.75,H36&lt;0.8),"Coaching","On Track")</f>
        <v/>
      </c>
      <c r="R36">
        <f>C36&amp;"|"&amp;O36</f>
        <v/>
      </c>
    </row>
    <row r="37">
      <c r="A37" s="5" t="inlineStr">
        <is>
          <t>A5033</t>
        </is>
      </c>
      <c r="B37" s="6" t="inlineStr">
        <is>
          <t>Thabo Mahlangu</t>
        </is>
      </c>
      <c r="C37" s="6" t="inlineStr">
        <is>
          <t>Discovery Lead Gen</t>
        </is>
      </c>
      <c r="D37" s="6" t="inlineStr">
        <is>
          <t>Precious Khumalo</t>
        </is>
      </c>
      <c r="E37" s="5" t="n">
        <v>13</v>
      </c>
      <c r="F37" s="5" t="n">
        <v>2048</v>
      </c>
      <c r="G37" s="5" t="n">
        <v>334</v>
      </c>
      <c r="H37" s="7" t="n">
        <v>0.91</v>
      </c>
      <c r="I37" s="7" t="n">
        <v>0.9</v>
      </c>
      <c r="J37" s="7" t="n">
        <v>0.92</v>
      </c>
      <c r="K37" s="7" t="n">
        <v>0.98</v>
      </c>
      <c r="L37" s="7" t="n">
        <v>0.16</v>
      </c>
      <c r="M37" s="7">
        <f>H37*$T$5+I37*$T$6+J37*$T$7+K37*$T$8+MIN(F37/$T$11,1)*$T$9+MIN(L37/0.3,1)*$T$10</f>
        <v/>
      </c>
      <c r="N37" s="5">
        <f>RANK(M37,$M$5:$M$154)</f>
        <v/>
      </c>
      <c r="O37" s="5">
        <f>SUMPRODUCT(($C$5:$C$154=C37)*($M$5:$M$154&gt;M37))+1</f>
        <v/>
      </c>
      <c r="P37" s="5">
        <f>ROUNDUP(N37/30,0)</f>
        <v/>
      </c>
      <c r="Q37" s="5">
        <f>IF(OR(M37&lt;0.75,H37&lt;0.8),"Coaching","On Track")</f>
        <v/>
      </c>
      <c r="R37">
        <f>C37&amp;"|"&amp;O37</f>
        <v/>
      </c>
    </row>
    <row r="38">
      <c r="A38" s="10" t="inlineStr">
        <is>
          <t>A5034</t>
        </is>
      </c>
      <c r="B38" s="11" t="inlineStr">
        <is>
          <t>Kagiso Mabaso</t>
        </is>
      </c>
      <c r="C38" s="11" t="inlineStr">
        <is>
          <t>Standard Bank Helpdesk</t>
        </is>
      </c>
      <c r="D38" s="11" t="inlineStr">
        <is>
          <t>Lerato Nel</t>
        </is>
      </c>
      <c r="E38" s="10" t="n">
        <v>22</v>
      </c>
      <c r="F38" s="10" t="n">
        <v>1262</v>
      </c>
      <c r="G38" s="10" t="n">
        <v>244</v>
      </c>
      <c r="H38" s="12" t="n">
        <v>0.85</v>
      </c>
      <c r="I38" s="12" t="n">
        <v>0.79</v>
      </c>
      <c r="J38" s="12" t="n">
        <v>0.89</v>
      </c>
      <c r="K38" s="12" t="n">
        <v>0.88</v>
      </c>
      <c r="L38" s="12" t="n">
        <v>0.05</v>
      </c>
      <c r="M38" s="12">
        <f>H38*$T$5+I38*$T$6+J38*$T$7+K38*$T$8+MIN(F38/$T$11,1)*$T$9+MIN(L38/0.3,1)*$T$10</f>
        <v/>
      </c>
      <c r="N38" s="10">
        <f>RANK(M38,$M$5:$M$154)</f>
        <v/>
      </c>
      <c r="O38" s="10">
        <f>SUMPRODUCT(($C$5:$C$154=C38)*($M$5:$M$154&gt;M38))+1</f>
        <v/>
      </c>
      <c r="P38" s="10">
        <f>ROUNDUP(N38/30,0)</f>
        <v/>
      </c>
      <c r="Q38" s="10">
        <f>IF(OR(M38&lt;0.75,H38&lt;0.8),"Coaching","On Track")</f>
        <v/>
      </c>
      <c r="R38">
        <f>C38&amp;"|"&amp;O38</f>
        <v/>
      </c>
    </row>
    <row r="39">
      <c r="A39" s="5" t="inlineStr">
        <is>
          <t>A5035</t>
        </is>
      </c>
      <c r="B39" s="6" t="inlineStr">
        <is>
          <t>Neo Meyer</t>
        </is>
      </c>
      <c r="C39" s="6" t="inlineStr">
        <is>
          <t>OUTsurance Sales</t>
        </is>
      </c>
      <c r="D39" s="6" t="inlineStr">
        <is>
          <t>Mandla Mokoena</t>
        </is>
      </c>
      <c r="E39" s="5" t="n">
        <v>9</v>
      </c>
      <c r="F39" s="5" t="n">
        <v>2040</v>
      </c>
      <c r="G39" s="5" t="n">
        <v>257</v>
      </c>
      <c r="H39" s="7" t="n">
        <v>0.91</v>
      </c>
      <c r="I39" s="7" t="n">
        <v>0.95</v>
      </c>
      <c r="J39" s="7" t="n">
        <v>0.92</v>
      </c>
      <c r="K39" s="7" t="n">
        <v>0.86</v>
      </c>
      <c r="L39" s="7" t="n">
        <v>0.16</v>
      </c>
      <c r="M39" s="7">
        <f>H39*$T$5+I39*$T$6+J39*$T$7+K39*$T$8+MIN(F39/$T$11,1)*$T$9+MIN(L39/0.3,1)*$T$10</f>
        <v/>
      </c>
      <c r="N39" s="5">
        <f>RANK(M39,$M$5:$M$154)</f>
        <v/>
      </c>
      <c r="O39" s="5">
        <f>SUMPRODUCT(($C$5:$C$154=C39)*($M$5:$M$154&gt;M39))+1</f>
        <v/>
      </c>
      <c r="P39" s="5">
        <f>ROUNDUP(N39/30,0)</f>
        <v/>
      </c>
      <c r="Q39" s="5">
        <f>IF(OR(M39&lt;0.75,H39&lt;0.8),"Coaching","On Track")</f>
        <v/>
      </c>
      <c r="R39">
        <f>C39&amp;"|"&amp;O39</f>
        <v/>
      </c>
    </row>
    <row r="40">
      <c r="A40" s="10" t="inlineStr">
        <is>
          <t>A5036</t>
        </is>
      </c>
      <c r="B40" s="11" t="inlineStr">
        <is>
          <t>Portia Van Wyk</t>
        </is>
      </c>
      <c r="C40" s="11" t="inlineStr">
        <is>
          <t>Shoprite Surveys</t>
        </is>
      </c>
      <c r="D40" s="11" t="inlineStr">
        <is>
          <t>Refilwe Govender</t>
        </is>
      </c>
      <c r="E40" s="10" t="n">
        <v>40</v>
      </c>
      <c r="F40" s="10" t="n">
        <v>1935</v>
      </c>
      <c r="G40" s="10" t="n">
        <v>286</v>
      </c>
      <c r="H40" s="12" t="n">
        <v>0.74</v>
      </c>
      <c r="I40" s="12" t="n">
        <v>0.9399999999999999</v>
      </c>
      <c r="J40" s="12" t="n">
        <v>0.88</v>
      </c>
      <c r="K40" s="12" t="n">
        <v>0.97</v>
      </c>
      <c r="L40" s="12" t="n">
        <v>0.07000000000000001</v>
      </c>
      <c r="M40" s="12">
        <f>H40*$T$5+I40*$T$6+J40*$T$7+K40*$T$8+MIN(F40/$T$11,1)*$T$9+MIN(L40/0.3,1)*$T$10</f>
        <v/>
      </c>
      <c r="N40" s="10">
        <f>RANK(M40,$M$5:$M$154)</f>
        <v/>
      </c>
      <c r="O40" s="10">
        <f>SUMPRODUCT(($C$5:$C$154=C40)*($M$5:$M$154&gt;M40))+1</f>
        <v/>
      </c>
      <c r="P40" s="10">
        <f>ROUNDUP(N40/30,0)</f>
        <v/>
      </c>
      <c r="Q40" s="10">
        <f>IF(OR(M40&lt;0.75,H40&lt;0.8),"Coaching","On Track")</f>
        <v/>
      </c>
      <c r="R40">
        <f>C40&amp;"|"&amp;O40</f>
        <v/>
      </c>
    </row>
    <row r="41">
      <c r="A41" s="5" t="inlineStr">
        <is>
          <t>A5037</t>
        </is>
      </c>
      <c r="B41" s="6" t="inlineStr">
        <is>
          <t>Lwazi Buthelezi</t>
        </is>
      </c>
      <c r="C41" s="6" t="inlineStr">
        <is>
          <t>Shoprite Surveys</t>
        </is>
      </c>
      <c r="D41" s="6" t="inlineStr">
        <is>
          <t>Precious Khumalo</t>
        </is>
      </c>
      <c r="E41" s="5" t="n">
        <v>39</v>
      </c>
      <c r="F41" s="5" t="n">
        <v>2052</v>
      </c>
      <c r="G41" s="5" t="n">
        <v>232</v>
      </c>
      <c r="H41" s="7" t="n">
        <v>0.78</v>
      </c>
      <c r="I41" s="7" t="n">
        <v>0.76</v>
      </c>
      <c r="J41" s="7" t="n">
        <v>0.8100000000000001</v>
      </c>
      <c r="K41" s="7" t="n">
        <v>0.99</v>
      </c>
      <c r="L41" s="7" t="n">
        <v>0.12</v>
      </c>
      <c r="M41" s="7">
        <f>H41*$T$5+I41*$T$6+J41*$T$7+K41*$T$8+MIN(F41/$T$11,1)*$T$9+MIN(L41/0.3,1)*$T$10</f>
        <v/>
      </c>
      <c r="N41" s="5">
        <f>RANK(M41,$M$5:$M$154)</f>
        <v/>
      </c>
      <c r="O41" s="5">
        <f>SUMPRODUCT(($C$5:$C$154=C41)*($M$5:$M$154&gt;M41))+1</f>
        <v/>
      </c>
      <c r="P41" s="5">
        <f>ROUNDUP(N41/30,0)</f>
        <v/>
      </c>
      <c r="Q41" s="5">
        <f>IF(OR(M41&lt;0.75,H41&lt;0.8),"Coaching","On Track")</f>
        <v/>
      </c>
      <c r="R41">
        <f>C41&amp;"|"&amp;O41</f>
        <v/>
      </c>
    </row>
    <row r="42">
      <c r="A42" s="10" t="inlineStr">
        <is>
          <t>A5038</t>
        </is>
      </c>
      <c r="B42" s="11" t="inlineStr">
        <is>
          <t>Rethabile Botha</t>
        </is>
      </c>
      <c r="C42" s="11" t="inlineStr">
        <is>
          <t>ABSA Collections</t>
        </is>
      </c>
      <c r="D42" s="11" t="inlineStr">
        <is>
          <t>Gift Dlamini</t>
        </is>
      </c>
      <c r="E42" s="10" t="n">
        <v>16</v>
      </c>
      <c r="F42" s="10" t="n">
        <v>1893</v>
      </c>
      <c r="G42" s="10" t="n">
        <v>294</v>
      </c>
      <c r="H42" s="12" t="n">
        <v>0.91</v>
      </c>
      <c r="I42" s="12" t="n">
        <v>0.73</v>
      </c>
      <c r="J42" s="12" t="n">
        <v>0.96</v>
      </c>
      <c r="K42" s="12" t="n">
        <v>0.96</v>
      </c>
      <c r="L42" s="12" t="n">
        <v>0.04</v>
      </c>
      <c r="M42" s="12">
        <f>H42*$T$5+I42*$T$6+J42*$T$7+K42*$T$8+MIN(F42/$T$11,1)*$T$9+MIN(L42/0.3,1)*$T$10</f>
        <v/>
      </c>
      <c r="N42" s="10">
        <f>RANK(M42,$M$5:$M$154)</f>
        <v/>
      </c>
      <c r="O42" s="10">
        <f>SUMPRODUCT(($C$5:$C$154=C42)*($M$5:$M$154&gt;M42))+1</f>
        <v/>
      </c>
      <c r="P42" s="10">
        <f>ROUNDUP(N42/30,0)</f>
        <v/>
      </c>
      <c r="Q42" s="10">
        <f>IF(OR(M42&lt;0.75,H42&lt;0.8),"Coaching","On Track")</f>
        <v/>
      </c>
      <c r="R42">
        <f>C42&amp;"|"&amp;O42</f>
        <v/>
      </c>
    </row>
    <row r="43">
      <c r="A43" s="5" t="inlineStr">
        <is>
          <t>A5039</t>
        </is>
      </c>
      <c r="B43" s="6" t="inlineStr">
        <is>
          <t>Kabelo Van Wyk</t>
        </is>
      </c>
      <c r="C43" s="6" t="inlineStr">
        <is>
          <t>Telkom Tech Support</t>
        </is>
      </c>
      <c r="D43" s="6" t="inlineStr">
        <is>
          <t>Mandla Mokoena</t>
        </is>
      </c>
      <c r="E43" s="5" t="n">
        <v>28</v>
      </c>
      <c r="F43" s="5" t="n">
        <v>1154</v>
      </c>
      <c r="G43" s="5" t="n">
        <v>325</v>
      </c>
      <c r="H43" s="7" t="n">
        <v>0.89</v>
      </c>
      <c r="I43" s="7" t="n">
        <v>0.78</v>
      </c>
      <c r="J43" s="7" t="n">
        <v>0.95</v>
      </c>
      <c r="K43" s="7" t="n">
        <v>0.9</v>
      </c>
      <c r="L43" s="7" t="n">
        <v>0.06</v>
      </c>
      <c r="M43" s="7">
        <f>H43*$T$5+I43*$T$6+J43*$T$7+K43*$T$8+MIN(F43/$T$11,1)*$T$9+MIN(L43/0.3,1)*$T$10</f>
        <v/>
      </c>
      <c r="N43" s="5">
        <f>RANK(M43,$M$5:$M$154)</f>
        <v/>
      </c>
      <c r="O43" s="5">
        <f>SUMPRODUCT(($C$5:$C$154=C43)*($M$5:$M$154&gt;M43))+1</f>
        <v/>
      </c>
      <c r="P43" s="5">
        <f>ROUNDUP(N43/30,0)</f>
        <v/>
      </c>
      <c r="Q43" s="5">
        <f>IF(OR(M43&lt;0.75,H43&lt;0.8),"Coaching","On Track")</f>
        <v/>
      </c>
      <c r="R43">
        <f>C43&amp;"|"&amp;O43</f>
        <v/>
      </c>
    </row>
    <row r="44">
      <c r="A44" s="10" t="inlineStr">
        <is>
          <t>A5040</t>
        </is>
      </c>
      <c r="B44" s="11" t="inlineStr">
        <is>
          <t>Sanele Mabaso</t>
        </is>
      </c>
      <c r="C44" s="11" t="inlineStr">
        <is>
          <t>Nedbank Debt Review</t>
        </is>
      </c>
      <c r="D44" s="11" t="inlineStr">
        <is>
          <t>Refilwe Govender</t>
        </is>
      </c>
      <c r="E44" s="10" t="n">
        <v>3</v>
      </c>
      <c r="F44" s="10" t="n">
        <v>1189</v>
      </c>
      <c r="G44" s="10" t="n">
        <v>262</v>
      </c>
      <c r="H44" s="12" t="n">
        <v>0.76</v>
      </c>
      <c r="I44" s="12" t="n">
        <v>0.75</v>
      </c>
      <c r="J44" s="12" t="n">
        <v>0.84</v>
      </c>
      <c r="K44" s="12" t="n">
        <v>0.97</v>
      </c>
      <c r="L44" s="12" t="n">
        <v>0.13</v>
      </c>
      <c r="M44" s="12">
        <f>H44*$T$5+I44*$T$6+J44*$T$7+K44*$T$8+MIN(F44/$T$11,1)*$T$9+MIN(L44/0.3,1)*$T$10</f>
        <v/>
      </c>
      <c r="N44" s="10">
        <f>RANK(M44,$M$5:$M$154)</f>
        <v/>
      </c>
      <c r="O44" s="10">
        <f>SUMPRODUCT(($C$5:$C$154=C44)*($M$5:$M$154&gt;M44))+1</f>
        <v/>
      </c>
      <c r="P44" s="10">
        <f>ROUNDUP(N44/30,0)</f>
        <v/>
      </c>
      <c r="Q44" s="10">
        <f>IF(OR(M44&lt;0.75,H44&lt;0.8),"Coaching","On Track")</f>
        <v/>
      </c>
      <c r="R44">
        <f>C44&amp;"|"&amp;O44</f>
        <v/>
      </c>
    </row>
    <row r="45">
      <c r="A45" s="5" t="inlineStr">
        <is>
          <t>A5041</t>
        </is>
      </c>
      <c r="B45" s="6" t="inlineStr">
        <is>
          <t>Dineo Motaung</t>
        </is>
      </c>
      <c r="C45" s="6" t="inlineStr">
        <is>
          <t>MTN Retentions</t>
        </is>
      </c>
      <c r="D45" s="6" t="inlineStr">
        <is>
          <t>Refilwe Govender</t>
        </is>
      </c>
      <c r="E45" s="5" t="n">
        <v>37</v>
      </c>
      <c r="F45" s="5" t="n">
        <v>1226</v>
      </c>
      <c r="G45" s="5" t="n">
        <v>265</v>
      </c>
      <c r="H45" s="7" t="n">
        <v>0.86</v>
      </c>
      <c r="I45" s="7" t="n">
        <v>0.75</v>
      </c>
      <c r="J45" s="7" t="n">
        <v>0.85</v>
      </c>
      <c r="K45" s="7" t="n">
        <v>0.93</v>
      </c>
      <c r="L45" s="7" t="n">
        <v>0.22</v>
      </c>
      <c r="M45" s="7">
        <f>H45*$T$5+I45*$T$6+J45*$T$7+K45*$T$8+MIN(F45/$T$11,1)*$T$9+MIN(L45/0.3,1)*$T$10</f>
        <v/>
      </c>
      <c r="N45" s="5">
        <f>RANK(M45,$M$5:$M$154)</f>
        <v/>
      </c>
      <c r="O45" s="5">
        <f>SUMPRODUCT(($C$5:$C$154=C45)*($M$5:$M$154&gt;M45))+1</f>
        <v/>
      </c>
      <c r="P45" s="5">
        <f>ROUNDUP(N45/30,0)</f>
        <v/>
      </c>
      <c r="Q45" s="5">
        <f>IF(OR(M45&lt;0.75,H45&lt;0.8),"Coaching","On Track")</f>
        <v/>
      </c>
      <c r="R45">
        <f>C45&amp;"|"&amp;O45</f>
        <v/>
      </c>
    </row>
    <row r="46">
      <c r="A46" s="10" t="inlineStr">
        <is>
          <t>A5042</t>
        </is>
      </c>
      <c r="B46" s="11" t="inlineStr">
        <is>
          <t>Nomvula Nel</t>
        </is>
      </c>
      <c r="C46" s="11" t="inlineStr">
        <is>
          <t>DStv Upsell</t>
        </is>
      </c>
      <c r="D46" s="11" t="inlineStr">
        <is>
          <t>Zanele Govender</t>
        </is>
      </c>
      <c r="E46" s="10" t="n">
        <v>29</v>
      </c>
      <c r="F46" s="10" t="n">
        <v>1277</v>
      </c>
      <c r="G46" s="10" t="n">
        <v>269</v>
      </c>
      <c r="H46" s="12" t="n">
        <v>0.73</v>
      </c>
      <c r="I46" s="12" t="n">
        <v>0.79</v>
      </c>
      <c r="J46" s="12" t="n">
        <v>0.83</v>
      </c>
      <c r="K46" s="12" t="n">
        <v>0.91</v>
      </c>
      <c r="L46" s="12" t="n">
        <v>0.06</v>
      </c>
      <c r="M46" s="12">
        <f>H46*$T$5+I46*$T$6+J46*$T$7+K46*$T$8+MIN(F46/$T$11,1)*$T$9+MIN(L46/0.3,1)*$T$10</f>
        <v/>
      </c>
      <c r="N46" s="10">
        <f>RANK(M46,$M$5:$M$154)</f>
        <v/>
      </c>
      <c r="O46" s="10">
        <f>SUMPRODUCT(($C$5:$C$154=C46)*($M$5:$M$154&gt;M46))+1</f>
        <v/>
      </c>
      <c r="P46" s="10">
        <f>ROUNDUP(N46/30,0)</f>
        <v/>
      </c>
      <c r="Q46" s="10">
        <f>IF(OR(M46&lt;0.75,H46&lt;0.8),"Coaching","On Track")</f>
        <v/>
      </c>
      <c r="R46">
        <f>C46&amp;"|"&amp;O46</f>
        <v/>
      </c>
    </row>
    <row r="47">
      <c r="A47" s="5" t="inlineStr">
        <is>
          <t>A5043</t>
        </is>
      </c>
      <c r="B47" s="6" t="inlineStr">
        <is>
          <t>Bongani Ndlovu</t>
        </is>
      </c>
      <c r="C47" s="6" t="inlineStr">
        <is>
          <t>Cell C Winback</t>
        </is>
      </c>
      <c r="D47" s="6" t="inlineStr">
        <is>
          <t>Lerato Nel</t>
        </is>
      </c>
      <c r="E47" s="5" t="n">
        <v>4</v>
      </c>
      <c r="F47" s="5" t="n">
        <v>1250</v>
      </c>
      <c r="G47" s="5" t="n">
        <v>217</v>
      </c>
      <c r="H47" s="7" t="n">
        <v>0.91</v>
      </c>
      <c r="I47" s="7" t="n">
        <v>0.84</v>
      </c>
      <c r="J47" s="7" t="n">
        <v>0.96</v>
      </c>
      <c r="K47" s="7" t="n">
        <v>0.99</v>
      </c>
      <c r="L47" s="7" t="n">
        <v>0.15</v>
      </c>
      <c r="M47" s="7">
        <f>H47*$T$5+I47*$T$6+J47*$T$7+K47*$T$8+MIN(F47/$T$11,1)*$T$9+MIN(L47/0.3,1)*$T$10</f>
        <v/>
      </c>
      <c r="N47" s="5">
        <f>RANK(M47,$M$5:$M$154)</f>
        <v/>
      </c>
      <c r="O47" s="5">
        <f>SUMPRODUCT(($C$5:$C$154=C47)*($M$5:$M$154&gt;M47))+1</f>
        <v/>
      </c>
      <c r="P47" s="5">
        <f>ROUNDUP(N47/30,0)</f>
        <v/>
      </c>
      <c r="Q47" s="5">
        <f>IF(OR(M47&lt;0.75,H47&lt;0.8),"Coaching","On Track")</f>
        <v/>
      </c>
      <c r="R47">
        <f>C47&amp;"|"&amp;O47</f>
        <v/>
      </c>
    </row>
    <row r="48">
      <c r="A48" s="10" t="inlineStr">
        <is>
          <t>A5044</t>
        </is>
      </c>
      <c r="B48" s="11" t="inlineStr">
        <is>
          <t>Neo Sithole</t>
        </is>
      </c>
      <c r="C48" s="11" t="inlineStr">
        <is>
          <t>Takealot Care</t>
        </is>
      </c>
      <c r="D48" s="11" t="inlineStr">
        <is>
          <t>Zodwa Molefe</t>
        </is>
      </c>
      <c r="E48" s="10" t="n">
        <v>17</v>
      </c>
      <c r="F48" s="10" t="n">
        <v>1085</v>
      </c>
      <c r="G48" s="10" t="n">
        <v>292</v>
      </c>
      <c r="H48" s="12" t="n">
        <v>0.79</v>
      </c>
      <c r="I48" s="12" t="n">
        <v>0.9</v>
      </c>
      <c r="J48" s="12" t="n">
        <v>0.9399999999999999</v>
      </c>
      <c r="K48" s="12" t="n">
        <v>0.83</v>
      </c>
      <c r="L48" s="12" t="n">
        <v>0.03</v>
      </c>
      <c r="M48" s="12">
        <f>H48*$T$5+I48*$T$6+J48*$T$7+K48*$T$8+MIN(F48/$T$11,1)*$T$9+MIN(L48/0.3,1)*$T$10</f>
        <v/>
      </c>
      <c r="N48" s="10">
        <f>RANK(M48,$M$5:$M$154)</f>
        <v/>
      </c>
      <c r="O48" s="10">
        <f>SUMPRODUCT(($C$5:$C$154=C48)*($M$5:$M$154&gt;M48))+1</f>
        <v/>
      </c>
      <c r="P48" s="10">
        <f>ROUNDUP(N48/30,0)</f>
        <v/>
      </c>
      <c r="Q48" s="10">
        <f>IF(OR(M48&lt;0.75,H48&lt;0.8),"Coaching","On Track")</f>
        <v/>
      </c>
      <c r="R48">
        <f>C48&amp;"|"&amp;O48</f>
        <v/>
      </c>
    </row>
    <row r="49">
      <c r="A49" s="5" t="inlineStr">
        <is>
          <t>A5045</t>
        </is>
      </c>
      <c r="B49" s="6" t="inlineStr">
        <is>
          <t>Anele Mahlangu</t>
        </is>
      </c>
      <c r="C49" s="6" t="inlineStr">
        <is>
          <t>Nedbank Debt Review</t>
        </is>
      </c>
      <c r="D49" s="6" t="inlineStr">
        <is>
          <t>Anele Govender</t>
        </is>
      </c>
      <c r="E49" s="5" t="n">
        <v>38</v>
      </c>
      <c r="F49" s="5" t="n">
        <v>1067</v>
      </c>
      <c r="G49" s="5" t="n">
        <v>320</v>
      </c>
      <c r="H49" s="7" t="n">
        <v>0.75</v>
      </c>
      <c r="I49" s="7" t="n">
        <v>0.78</v>
      </c>
      <c r="J49" s="7" t="n">
        <v>0.91</v>
      </c>
      <c r="K49" s="7" t="n">
        <v>0.93</v>
      </c>
      <c r="L49" s="7" t="n">
        <v>0.08</v>
      </c>
      <c r="M49" s="7">
        <f>H49*$T$5+I49*$T$6+J49*$T$7+K49*$T$8+MIN(F49/$T$11,1)*$T$9+MIN(L49/0.3,1)*$T$10</f>
        <v/>
      </c>
      <c r="N49" s="5">
        <f>RANK(M49,$M$5:$M$154)</f>
        <v/>
      </c>
      <c r="O49" s="5">
        <f>SUMPRODUCT(($C$5:$C$154=C49)*($M$5:$M$154&gt;M49))+1</f>
        <v/>
      </c>
      <c r="P49" s="5">
        <f>ROUNDUP(N49/30,0)</f>
        <v/>
      </c>
      <c r="Q49" s="5">
        <f>IF(OR(M49&lt;0.75,H49&lt;0.8),"Coaching","On Track")</f>
        <v/>
      </c>
      <c r="R49">
        <f>C49&amp;"|"&amp;O49</f>
        <v/>
      </c>
    </row>
    <row r="50">
      <c r="A50" s="10" t="inlineStr">
        <is>
          <t>A5046</t>
        </is>
      </c>
      <c r="B50" s="11" t="inlineStr">
        <is>
          <t>Dineo Tshabalala</t>
        </is>
      </c>
      <c r="C50" s="11" t="inlineStr">
        <is>
          <t>Vodacom Upgrades</t>
        </is>
      </c>
      <c r="D50" s="11" t="inlineStr">
        <is>
          <t>Zanele Govender</t>
        </is>
      </c>
      <c r="E50" s="10" t="n">
        <v>32</v>
      </c>
      <c r="F50" s="10" t="n">
        <v>1671</v>
      </c>
      <c r="G50" s="10" t="n">
        <v>345</v>
      </c>
      <c r="H50" s="12" t="n">
        <v>0.9</v>
      </c>
      <c r="I50" s="12" t="n">
        <v>0.79</v>
      </c>
      <c r="J50" s="12" t="n">
        <v>0.98</v>
      </c>
      <c r="K50" s="12" t="n">
        <v>0.96</v>
      </c>
      <c r="L50" s="12" t="n">
        <v>0.12</v>
      </c>
      <c r="M50" s="12">
        <f>H50*$T$5+I50*$T$6+J50*$T$7+K50*$T$8+MIN(F50/$T$11,1)*$T$9+MIN(L50/0.3,1)*$T$10</f>
        <v/>
      </c>
      <c r="N50" s="10">
        <f>RANK(M50,$M$5:$M$154)</f>
        <v/>
      </c>
      <c r="O50" s="10">
        <f>SUMPRODUCT(($C$5:$C$154=C50)*($M$5:$M$154&gt;M50))+1</f>
        <v/>
      </c>
      <c r="P50" s="10">
        <f>ROUNDUP(N50/30,0)</f>
        <v/>
      </c>
      <c r="Q50" s="10">
        <f>IF(OR(M50&lt;0.75,H50&lt;0.8),"Coaching","On Track")</f>
        <v/>
      </c>
      <c r="R50">
        <f>C50&amp;"|"&amp;O50</f>
        <v/>
      </c>
    </row>
    <row r="51">
      <c r="A51" s="5" t="inlineStr">
        <is>
          <t>A5047</t>
        </is>
      </c>
      <c r="B51" s="6" t="inlineStr">
        <is>
          <t>Ayanda Govender</t>
        </is>
      </c>
      <c r="C51" s="6" t="inlineStr">
        <is>
          <t>Shoprite Surveys</t>
        </is>
      </c>
      <c r="D51" s="6" t="inlineStr">
        <is>
          <t>Zodwa Molefe</t>
        </is>
      </c>
      <c r="E51" s="5" t="n">
        <v>18</v>
      </c>
      <c r="F51" s="5" t="n">
        <v>1944</v>
      </c>
      <c r="G51" s="5" t="n">
        <v>251</v>
      </c>
      <c r="H51" s="7" t="n">
        <v>0.75</v>
      </c>
      <c r="I51" s="7" t="n">
        <v>0.84</v>
      </c>
      <c r="J51" s="7" t="n">
        <v>0.95</v>
      </c>
      <c r="K51" s="7" t="n">
        <v>0.93</v>
      </c>
      <c r="L51" s="7" t="n">
        <v>0.15</v>
      </c>
      <c r="M51" s="7">
        <f>H51*$T$5+I51*$T$6+J51*$T$7+K51*$T$8+MIN(F51/$T$11,1)*$T$9+MIN(L51/0.3,1)*$T$10</f>
        <v/>
      </c>
      <c r="N51" s="5">
        <f>RANK(M51,$M$5:$M$154)</f>
        <v/>
      </c>
      <c r="O51" s="5">
        <f>SUMPRODUCT(($C$5:$C$154=C51)*($M$5:$M$154&gt;M51))+1</f>
        <v/>
      </c>
      <c r="P51" s="5">
        <f>ROUNDUP(N51/30,0)</f>
        <v/>
      </c>
      <c r="Q51" s="5">
        <f>IF(OR(M51&lt;0.75,H51&lt;0.8),"Coaching","On Track")</f>
        <v/>
      </c>
      <c r="R51">
        <f>C51&amp;"|"&amp;O51</f>
        <v/>
      </c>
    </row>
    <row r="52">
      <c r="A52" s="10" t="inlineStr">
        <is>
          <t>A5048</t>
        </is>
      </c>
      <c r="B52" s="11" t="inlineStr">
        <is>
          <t>Kabelo Ngcobo</t>
        </is>
      </c>
      <c r="C52" s="11" t="inlineStr">
        <is>
          <t>Vodacom Upgrades</t>
        </is>
      </c>
      <c r="D52" s="11" t="inlineStr">
        <is>
          <t>Zodwa Molefe</t>
        </is>
      </c>
      <c r="E52" s="10" t="n">
        <v>16</v>
      </c>
      <c r="F52" s="10" t="n">
        <v>1893</v>
      </c>
      <c r="G52" s="10" t="n">
        <v>304</v>
      </c>
      <c r="H52" s="12" t="n">
        <v>0.9399999999999999</v>
      </c>
      <c r="I52" s="12" t="n">
        <v>0.88</v>
      </c>
      <c r="J52" s="12" t="n">
        <v>0.88</v>
      </c>
      <c r="K52" s="12" t="n">
        <v>0.87</v>
      </c>
      <c r="L52" s="12" t="n">
        <v>0.24</v>
      </c>
      <c r="M52" s="12">
        <f>H52*$T$5+I52*$T$6+J52*$T$7+K52*$T$8+MIN(F52/$T$11,1)*$T$9+MIN(L52/0.3,1)*$T$10</f>
        <v/>
      </c>
      <c r="N52" s="10">
        <f>RANK(M52,$M$5:$M$154)</f>
        <v/>
      </c>
      <c r="O52" s="10">
        <f>SUMPRODUCT(($C$5:$C$154=C52)*($M$5:$M$154&gt;M52))+1</f>
        <v/>
      </c>
      <c r="P52" s="10">
        <f>ROUNDUP(N52/30,0)</f>
        <v/>
      </c>
      <c r="Q52" s="10">
        <f>IF(OR(M52&lt;0.75,H52&lt;0.8),"Coaching","On Track")</f>
        <v/>
      </c>
      <c r="R52">
        <f>C52&amp;"|"&amp;O52</f>
        <v/>
      </c>
    </row>
    <row r="53">
      <c r="A53" s="5" t="inlineStr">
        <is>
          <t>A5049</t>
        </is>
      </c>
      <c r="B53" s="6" t="inlineStr">
        <is>
          <t>Rethabile Cele</t>
        </is>
      </c>
      <c r="C53" s="6" t="inlineStr">
        <is>
          <t>OUTsurance Sales</t>
        </is>
      </c>
      <c r="D53" s="6" t="inlineStr">
        <is>
          <t>Zanele Govender</t>
        </is>
      </c>
      <c r="E53" s="5" t="n">
        <v>26</v>
      </c>
      <c r="F53" s="5" t="n">
        <v>1787</v>
      </c>
      <c r="G53" s="5" t="n">
        <v>238</v>
      </c>
      <c r="H53" s="7" t="n">
        <v>0.77</v>
      </c>
      <c r="I53" s="7" t="n">
        <v>0.78</v>
      </c>
      <c r="J53" s="7" t="n">
        <v>0.95</v>
      </c>
      <c r="K53" s="7" t="n">
        <v>0.99</v>
      </c>
      <c r="L53" s="7" t="n">
        <v>0.24</v>
      </c>
      <c r="M53" s="7">
        <f>H53*$T$5+I53*$T$6+J53*$T$7+K53*$T$8+MIN(F53/$T$11,1)*$T$9+MIN(L53/0.3,1)*$T$10</f>
        <v/>
      </c>
      <c r="N53" s="5">
        <f>RANK(M53,$M$5:$M$154)</f>
        <v/>
      </c>
      <c r="O53" s="5">
        <f>SUMPRODUCT(($C$5:$C$154=C53)*($M$5:$M$154&gt;M53))+1</f>
        <v/>
      </c>
      <c r="P53" s="5">
        <f>ROUNDUP(N53/30,0)</f>
        <v/>
      </c>
      <c r="Q53" s="5">
        <f>IF(OR(M53&lt;0.75,H53&lt;0.8),"Coaching","On Track")</f>
        <v/>
      </c>
      <c r="R53">
        <f>C53&amp;"|"&amp;O53</f>
        <v/>
      </c>
    </row>
    <row r="54">
      <c r="A54" s="10" t="inlineStr">
        <is>
          <t>A5050</t>
        </is>
      </c>
      <c r="B54" s="11" t="inlineStr">
        <is>
          <t>Themba Mokoena</t>
        </is>
      </c>
      <c r="C54" s="11" t="inlineStr">
        <is>
          <t>Vodacom Upgrades</t>
        </is>
      </c>
      <c r="D54" s="11" t="inlineStr">
        <is>
          <t>Zodwa Molefe</t>
        </is>
      </c>
      <c r="E54" s="10" t="n">
        <v>40</v>
      </c>
      <c r="F54" s="10" t="n">
        <v>1276</v>
      </c>
      <c r="G54" s="10" t="n">
        <v>224</v>
      </c>
      <c r="H54" s="12" t="n">
        <v>0.97</v>
      </c>
      <c r="I54" s="12" t="n">
        <v>0.72</v>
      </c>
      <c r="J54" s="12" t="n">
        <v>0.97</v>
      </c>
      <c r="K54" s="12" t="n">
        <v>0.96</v>
      </c>
      <c r="L54" s="12" t="n">
        <v>0.15</v>
      </c>
      <c r="M54" s="12">
        <f>H54*$T$5+I54*$T$6+J54*$T$7+K54*$T$8+MIN(F54/$T$11,1)*$T$9+MIN(L54/0.3,1)*$T$10</f>
        <v/>
      </c>
      <c r="N54" s="10">
        <f>RANK(M54,$M$5:$M$154)</f>
        <v/>
      </c>
      <c r="O54" s="10">
        <f>SUMPRODUCT(($C$5:$C$154=C54)*($M$5:$M$154&gt;M54))+1</f>
        <v/>
      </c>
      <c r="P54" s="10">
        <f>ROUNDUP(N54/30,0)</f>
        <v/>
      </c>
      <c r="Q54" s="10">
        <f>IF(OR(M54&lt;0.75,H54&lt;0.8),"Coaching","On Track")</f>
        <v/>
      </c>
      <c r="R54">
        <f>C54&amp;"|"&amp;O54</f>
        <v/>
      </c>
    </row>
    <row r="55">
      <c r="A55" s="5" t="inlineStr">
        <is>
          <t>A5051</t>
        </is>
      </c>
      <c r="B55" s="6" t="inlineStr">
        <is>
          <t>Nkanyiso Nkosi</t>
        </is>
      </c>
      <c r="C55" s="6" t="inlineStr">
        <is>
          <t>OUTsurance Sales</t>
        </is>
      </c>
      <c r="D55" s="6" t="inlineStr">
        <is>
          <t>Lerato Nel</t>
        </is>
      </c>
      <c r="E55" s="5" t="n">
        <v>40</v>
      </c>
      <c r="F55" s="5" t="n">
        <v>1306</v>
      </c>
      <c r="G55" s="5" t="n">
        <v>282</v>
      </c>
      <c r="H55" s="7" t="n">
        <v>0.88</v>
      </c>
      <c r="I55" s="7" t="n">
        <v>0.86</v>
      </c>
      <c r="J55" s="7" t="n">
        <v>0.91</v>
      </c>
      <c r="K55" s="7" t="n">
        <v>0.98</v>
      </c>
      <c r="L55" s="7" t="n">
        <v>0.23</v>
      </c>
      <c r="M55" s="7">
        <f>H55*$T$5+I55*$T$6+J55*$T$7+K55*$T$8+MIN(F55/$T$11,1)*$T$9+MIN(L55/0.3,1)*$T$10</f>
        <v/>
      </c>
      <c r="N55" s="5">
        <f>RANK(M55,$M$5:$M$154)</f>
        <v/>
      </c>
      <c r="O55" s="5">
        <f>SUMPRODUCT(($C$5:$C$154=C55)*($M$5:$M$154&gt;M55))+1</f>
        <v/>
      </c>
      <c r="P55" s="5">
        <f>ROUNDUP(N55/30,0)</f>
        <v/>
      </c>
      <c r="Q55" s="5">
        <f>IF(OR(M55&lt;0.75,H55&lt;0.8),"Coaching","On Track")</f>
        <v/>
      </c>
      <c r="R55">
        <f>C55&amp;"|"&amp;O55</f>
        <v/>
      </c>
    </row>
    <row r="56">
      <c r="A56" s="10" t="inlineStr">
        <is>
          <t>A5052</t>
        </is>
      </c>
      <c r="B56" s="11" t="inlineStr">
        <is>
          <t>Nokuthula Pillay</t>
        </is>
      </c>
      <c r="C56" s="11" t="inlineStr">
        <is>
          <t>OUTsurance Sales</t>
        </is>
      </c>
      <c r="D56" s="11" t="inlineStr">
        <is>
          <t>Zodwa Molefe</t>
        </is>
      </c>
      <c r="E56" s="10" t="n">
        <v>37</v>
      </c>
      <c r="F56" s="10" t="n">
        <v>1492</v>
      </c>
      <c r="G56" s="10" t="n">
        <v>278</v>
      </c>
      <c r="H56" s="12" t="n">
        <v>0.75</v>
      </c>
      <c r="I56" s="12" t="n">
        <v>0.75</v>
      </c>
      <c r="J56" s="12" t="n">
        <v>0.92</v>
      </c>
      <c r="K56" s="12" t="n">
        <v>0.9399999999999999</v>
      </c>
      <c r="L56" s="12" t="n">
        <v>0.13</v>
      </c>
      <c r="M56" s="12">
        <f>H56*$T$5+I56*$T$6+J56*$T$7+K56*$T$8+MIN(F56/$T$11,1)*$T$9+MIN(L56/0.3,1)*$T$10</f>
        <v/>
      </c>
      <c r="N56" s="10">
        <f>RANK(M56,$M$5:$M$154)</f>
        <v/>
      </c>
      <c r="O56" s="10">
        <f>SUMPRODUCT(($C$5:$C$154=C56)*($M$5:$M$154&gt;M56))+1</f>
        <v/>
      </c>
      <c r="P56" s="10">
        <f>ROUNDUP(N56/30,0)</f>
        <v/>
      </c>
      <c r="Q56" s="10">
        <f>IF(OR(M56&lt;0.75,H56&lt;0.8),"Coaching","On Track")</f>
        <v/>
      </c>
      <c r="R56">
        <f>C56&amp;"|"&amp;O56</f>
        <v/>
      </c>
    </row>
    <row r="57">
      <c r="A57" s="5" t="inlineStr">
        <is>
          <t>A5053</t>
        </is>
      </c>
      <c r="B57" s="6" t="inlineStr">
        <is>
          <t>Keabetswe Dlamini</t>
        </is>
      </c>
      <c r="C57" s="6" t="inlineStr">
        <is>
          <t>DStv Upsell</t>
        </is>
      </c>
      <c r="D57" s="6" t="inlineStr">
        <is>
          <t>Precious Khumalo</t>
        </is>
      </c>
      <c r="E57" s="5" t="n">
        <v>3</v>
      </c>
      <c r="F57" s="5" t="n">
        <v>1354</v>
      </c>
      <c r="G57" s="5" t="n">
        <v>223</v>
      </c>
      <c r="H57" s="7" t="n">
        <v>0.77</v>
      </c>
      <c r="I57" s="7" t="n">
        <v>0.82</v>
      </c>
      <c r="J57" s="7" t="n">
        <v>0.95</v>
      </c>
      <c r="K57" s="7" t="n">
        <v>0.9</v>
      </c>
      <c r="L57" s="7" t="n">
        <v>0.17</v>
      </c>
      <c r="M57" s="7">
        <f>H57*$T$5+I57*$T$6+J57*$T$7+K57*$T$8+MIN(F57/$T$11,1)*$T$9+MIN(L57/0.3,1)*$T$10</f>
        <v/>
      </c>
      <c r="N57" s="5">
        <f>RANK(M57,$M$5:$M$154)</f>
        <v/>
      </c>
      <c r="O57" s="5">
        <f>SUMPRODUCT(($C$5:$C$154=C57)*($M$5:$M$154&gt;M57))+1</f>
        <v/>
      </c>
      <c r="P57" s="5">
        <f>ROUNDUP(N57/30,0)</f>
        <v/>
      </c>
      <c r="Q57" s="5">
        <f>IF(OR(M57&lt;0.75,H57&lt;0.8),"Coaching","On Track")</f>
        <v/>
      </c>
      <c r="R57">
        <f>C57&amp;"|"&amp;O57</f>
        <v/>
      </c>
    </row>
    <row r="58">
      <c r="A58" s="10" t="inlineStr">
        <is>
          <t>A5054</t>
        </is>
      </c>
      <c r="B58" s="11" t="inlineStr">
        <is>
          <t>Lindiwe Van Wyk</t>
        </is>
      </c>
      <c r="C58" s="11" t="inlineStr">
        <is>
          <t>ABSA Collections</t>
        </is>
      </c>
      <c r="D58" s="11" t="inlineStr">
        <is>
          <t>Refilwe Govender</t>
        </is>
      </c>
      <c r="E58" s="10" t="n">
        <v>36</v>
      </c>
      <c r="F58" s="10" t="n">
        <v>1491</v>
      </c>
      <c r="G58" s="10" t="n">
        <v>349</v>
      </c>
      <c r="H58" s="12" t="n">
        <v>0.8</v>
      </c>
      <c r="I58" s="12" t="n">
        <v>0.9399999999999999</v>
      </c>
      <c r="J58" s="12" t="n">
        <v>0.84</v>
      </c>
      <c r="K58" s="12" t="n">
        <v>0.99</v>
      </c>
      <c r="L58" s="12" t="n">
        <v>0.27</v>
      </c>
      <c r="M58" s="12">
        <f>H58*$T$5+I58*$T$6+J58*$T$7+K58*$T$8+MIN(F58/$T$11,1)*$T$9+MIN(L58/0.3,1)*$T$10</f>
        <v/>
      </c>
      <c r="N58" s="10">
        <f>RANK(M58,$M$5:$M$154)</f>
        <v/>
      </c>
      <c r="O58" s="10">
        <f>SUMPRODUCT(($C$5:$C$154=C58)*($M$5:$M$154&gt;M58))+1</f>
        <v/>
      </c>
      <c r="P58" s="10">
        <f>ROUNDUP(N58/30,0)</f>
        <v/>
      </c>
      <c r="Q58" s="10">
        <f>IF(OR(M58&lt;0.75,H58&lt;0.8),"Coaching","On Track")</f>
        <v/>
      </c>
      <c r="R58">
        <f>C58&amp;"|"&amp;O58</f>
        <v/>
      </c>
    </row>
    <row r="59">
      <c r="A59" s="5" t="inlineStr">
        <is>
          <t>A5055</t>
        </is>
      </c>
      <c r="B59" s="6" t="inlineStr">
        <is>
          <t>Mpho Van Wyk</t>
        </is>
      </c>
      <c r="C59" s="6" t="inlineStr">
        <is>
          <t>Takealot Care</t>
        </is>
      </c>
      <c r="D59" s="6" t="inlineStr">
        <is>
          <t>Thabo Buthelezi</t>
        </is>
      </c>
      <c r="E59" s="5" t="n">
        <v>12</v>
      </c>
      <c r="F59" s="5" t="n">
        <v>1758</v>
      </c>
      <c r="G59" s="5" t="n">
        <v>227</v>
      </c>
      <c r="H59" s="7" t="n">
        <v>0.76</v>
      </c>
      <c r="I59" s="7" t="n">
        <v>0.91</v>
      </c>
      <c r="J59" s="7" t="n">
        <v>0.9</v>
      </c>
      <c r="K59" s="7" t="n">
        <v>0.97</v>
      </c>
      <c r="L59" s="7" t="n">
        <v>0.14</v>
      </c>
      <c r="M59" s="7">
        <f>H59*$T$5+I59*$T$6+J59*$T$7+K59*$T$8+MIN(F59/$T$11,1)*$T$9+MIN(L59/0.3,1)*$T$10</f>
        <v/>
      </c>
      <c r="N59" s="5">
        <f>RANK(M59,$M$5:$M$154)</f>
        <v/>
      </c>
      <c r="O59" s="5">
        <f>SUMPRODUCT(($C$5:$C$154=C59)*($M$5:$M$154&gt;M59))+1</f>
        <v/>
      </c>
      <c r="P59" s="5">
        <f>ROUNDUP(N59/30,0)</f>
        <v/>
      </c>
      <c r="Q59" s="5">
        <f>IF(OR(M59&lt;0.75,H59&lt;0.8),"Coaching","On Track")</f>
        <v/>
      </c>
      <c r="R59">
        <f>C59&amp;"|"&amp;O59</f>
        <v/>
      </c>
    </row>
    <row r="60">
      <c r="A60" s="10" t="inlineStr">
        <is>
          <t>A5056</t>
        </is>
      </c>
      <c r="B60" s="11" t="inlineStr">
        <is>
          <t>Keabetswe Cele</t>
        </is>
      </c>
      <c r="C60" s="11" t="inlineStr">
        <is>
          <t>Cell C Winback</t>
        </is>
      </c>
      <c r="D60" s="11" t="inlineStr">
        <is>
          <t>Gift Dlamini</t>
        </is>
      </c>
      <c r="E60" s="10" t="n">
        <v>30</v>
      </c>
      <c r="F60" s="10" t="n">
        <v>1942</v>
      </c>
      <c r="G60" s="10" t="n">
        <v>284</v>
      </c>
      <c r="H60" s="12" t="n">
        <v>0.89</v>
      </c>
      <c r="I60" s="12" t="n">
        <v>0.9399999999999999</v>
      </c>
      <c r="J60" s="12" t="n">
        <v>0.9</v>
      </c>
      <c r="K60" s="12" t="n">
        <v>0.98</v>
      </c>
      <c r="L60" s="12" t="n">
        <v>0.23</v>
      </c>
      <c r="M60" s="12">
        <f>H60*$T$5+I60*$T$6+J60*$T$7+K60*$T$8+MIN(F60/$T$11,1)*$T$9+MIN(L60/0.3,1)*$T$10</f>
        <v/>
      </c>
      <c r="N60" s="10">
        <f>RANK(M60,$M$5:$M$154)</f>
        <v/>
      </c>
      <c r="O60" s="10">
        <f>SUMPRODUCT(($C$5:$C$154=C60)*($M$5:$M$154&gt;M60))+1</f>
        <v/>
      </c>
      <c r="P60" s="10">
        <f>ROUNDUP(N60/30,0)</f>
        <v/>
      </c>
      <c r="Q60" s="10">
        <f>IF(OR(M60&lt;0.75,H60&lt;0.8),"Coaching","On Track")</f>
        <v/>
      </c>
      <c r="R60">
        <f>C60&amp;"|"&amp;O60</f>
        <v/>
      </c>
    </row>
    <row r="61">
      <c r="A61" s="5" t="inlineStr">
        <is>
          <t>A5057</t>
        </is>
      </c>
      <c r="B61" s="6" t="inlineStr">
        <is>
          <t>Onalenna Mabaso</t>
        </is>
      </c>
      <c r="C61" s="6" t="inlineStr">
        <is>
          <t>MTN Retentions</t>
        </is>
      </c>
      <c r="D61" s="6" t="inlineStr">
        <is>
          <t>Zodwa Nel</t>
        </is>
      </c>
      <c r="E61" s="5" t="n">
        <v>22</v>
      </c>
      <c r="F61" s="5" t="n">
        <v>1498</v>
      </c>
      <c r="G61" s="5" t="n">
        <v>214</v>
      </c>
      <c r="H61" s="7" t="n">
        <v>0.73</v>
      </c>
      <c r="I61" s="7" t="n">
        <v>0.97</v>
      </c>
      <c r="J61" s="7" t="n">
        <v>0.89</v>
      </c>
      <c r="K61" s="7" t="n">
        <v>0.97</v>
      </c>
      <c r="L61" s="7" t="n">
        <v>0.2</v>
      </c>
      <c r="M61" s="7">
        <f>H61*$T$5+I61*$T$6+J61*$T$7+K61*$T$8+MIN(F61/$T$11,1)*$T$9+MIN(L61/0.3,1)*$T$10</f>
        <v/>
      </c>
      <c r="N61" s="5">
        <f>RANK(M61,$M$5:$M$154)</f>
        <v/>
      </c>
      <c r="O61" s="5">
        <f>SUMPRODUCT(($C$5:$C$154=C61)*($M$5:$M$154&gt;M61))+1</f>
        <v/>
      </c>
      <c r="P61" s="5">
        <f>ROUNDUP(N61/30,0)</f>
        <v/>
      </c>
      <c r="Q61" s="5">
        <f>IF(OR(M61&lt;0.75,H61&lt;0.8),"Coaching","On Track")</f>
        <v/>
      </c>
      <c r="R61">
        <f>C61&amp;"|"&amp;O61</f>
        <v/>
      </c>
    </row>
    <row r="62">
      <c r="A62" s="10" t="inlineStr">
        <is>
          <t>A5058</t>
        </is>
      </c>
      <c r="B62" s="11" t="inlineStr">
        <is>
          <t>Tebogo Radebe</t>
        </is>
      </c>
      <c r="C62" s="11" t="inlineStr">
        <is>
          <t>ABSA Collections</t>
        </is>
      </c>
      <c r="D62" s="11" t="inlineStr">
        <is>
          <t>Zodwa Molefe</t>
        </is>
      </c>
      <c r="E62" s="10" t="n">
        <v>11</v>
      </c>
      <c r="F62" s="10" t="n">
        <v>1565</v>
      </c>
      <c r="G62" s="10" t="n">
        <v>257</v>
      </c>
      <c r="H62" s="12" t="n">
        <v>0.97</v>
      </c>
      <c r="I62" s="12" t="n">
        <v>0.96</v>
      </c>
      <c r="J62" s="12" t="n">
        <v>0.91</v>
      </c>
      <c r="K62" s="12" t="n">
        <v>0.83</v>
      </c>
      <c r="L62" s="12" t="n">
        <v>0.25</v>
      </c>
      <c r="M62" s="12">
        <f>H62*$T$5+I62*$T$6+J62*$T$7+K62*$T$8+MIN(F62/$T$11,1)*$T$9+MIN(L62/0.3,1)*$T$10</f>
        <v/>
      </c>
      <c r="N62" s="10">
        <f>RANK(M62,$M$5:$M$154)</f>
        <v/>
      </c>
      <c r="O62" s="10">
        <f>SUMPRODUCT(($C$5:$C$154=C62)*($M$5:$M$154&gt;M62))+1</f>
        <v/>
      </c>
      <c r="P62" s="10">
        <f>ROUNDUP(N62/30,0)</f>
        <v/>
      </c>
      <c r="Q62" s="10">
        <f>IF(OR(M62&lt;0.75,H62&lt;0.8),"Coaching","On Track")</f>
        <v/>
      </c>
      <c r="R62">
        <f>C62&amp;"|"&amp;O62</f>
        <v/>
      </c>
    </row>
    <row r="63">
      <c r="A63" s="5" t="inlineStr">
        <is>
          <t>A5059</t>
        </is>
      </c>
      <c r="B63" s="6" t="inlineStr">
        <is>
          <t>Mandla Radebe</t>
        </is>
      </c>
      <c r="C63" s="6" t="inlineStr">
        <is>
          <t>Telkom Tech Support</t>
        </is>
      </c>
      <c r="D63" s="6" t="inlineStr">
        <is>
          <t>Lerato Nel</t>
        </is>
      </c>
      <c r="E63" s="5" t="n">
        <v>20</v>
      </c>
      <c r="F63" s="5" t="n">
        <v>2033</v>
      </c>
      <c r="G63" s="5" t="n">
        <v>358</v>
      </c>
      <c r="H63" s="7" t="n">
        <v>0.72</v>
      </c>
      <c r="I63" s="7" t="n">
        <v>0.72</v>
      </c>
      <c r="J63" s="7" t="n">
        <v>0.83</v>
      </c>
      <c r="K63" s="7" t="n">
        <v>0.88</v>
      </c>
      <c r="L63" s="7" t="n">
        <v>0.24</v>
      </c>
      <c r="M63" s="7">
        <f>H63*$T$5+I63*$T$6+J63*$T$7+K63*$T$8+MIN(F63/$T$11,1)*$T$9+MIN(L63/0.3,1)*$T$10</f>
        <v/>
      </c>
      <c r="N63" s="5">
        <f>RANK(M63,$M$5:$M$154)</f>
        <v/>
      </c>
      <c r="O63" s="5">
        <f>SUMPRODUCT(($C$5:$C$154=C63)*($M$5:$M$154&gt;M63))+1</f>
        <v/>
      </c>
      <c r="P63" s="5">
        <f>ROUNDUP(N63/30,0)</f>
        <v/>
      </c>
      <c r="Q63" s="5">
        <f>IF(OR(M63&lt;0.75,H63&lt;0.8),"Coaching","On Track")</f>
        <v/>
      </c>
      <c r="R63">
        <f>C63&amp;"|"&amp;O63</f>
        <v/>
      </c>
    </row>
    <row r="64">
      <c r="A64" s="10" t="inlineStr">
        <is>
          <t>A5060</t>
        </is>
      </c>
      <c r="B64" s="11" t="inlineStr">
        <is>
          <t>Palesa Adams</t>
        </is>
      </c>
      <c r="C64" s="11" t="inlineStr">
        <is>
          <t>MTN Retentions</t>
        </is>
      </c>
      <c r="D64" s="11" t="inlineStr">
        <is>
          <t>Zodwa Molefe</t>
        </is>
      </c>
      <c r="E64" s="10" t="n">
        <v>15</v>
      </c>
      <c r="F64" s="10" t="n">
        <v>2012</v>
      </c>
      <c r="G64" s="10" t="n">
        <v>253</v>
      </c>
      <c r="H64" s="12" t="n">
        <v>0.8</v>
      </c>
      <c r="I64" s="12" t="n">
        <v>0.74</v>
      </c>
      <c r="J64" s="12" t="n">
        <v>0.9399999999999999</v>
      </c>
      <c r="K64" s="12" t="n">
        <v>0.88</v>
      </c>
      <c r="L64" s="12" t="n">
        <v>0.11</v>
      </c>
      <c r="M64" s="12">
        <f>H64*$T$5+I64*$T$6+J64*$T$7+K64*$T$8+MIN(F64/$T$11,1)*$T$9+MIN(L64/0.3,1)*$T$10</f>
        <v/>
      </c>
      <c r="N64" s="10">
        <f>RANK(M64,$M$5:$M$154)</f>
        <v/>
      </c>
      <c r="O64" s="10">
        <f>SUMPRODUCT(($C$5:$C$154=C64)*($M$5:$M$154&gt;M64))+1</f>
        <v/>
      </c>
      <c r="P64" s="10">
        <f>ROUNDUP(N64/30,0)</f>
        <v/>
      </c>
      <c r="Q64" s="10">
        <f>IF(OR(M64&lt;0.75,H64&lt;0.8),"Coaching","On Track")</f>
        <v/>
      </c>
      <c r="R64">
        <f>C64&amp;"|"&amp;O64</f>
        <v/>
      </c>
    </row>
    <row r="65">
      <c r="A65" s="5" t="inlineStr">
        <is>
          <t>A5061</t>
        </is>
      </c>
      <c r="B65" s="6" t="inlineStr">
        <is>
          <t>Zanele Nel</t>
        </is>
      </c>
      <c r="C65" s="6" t="inlineStr">
        <is>
          <t>ABSA Collections</t>
        </is>
      </c>
      <c r="D65" s="6" t="inlineStr">
        <is>
          <t>Precious Khumalo</t>
        </is>
      </c>
      <c r="E65" s="5" t="n">
        <v>15</v>
      </c>
      <c r="F65" s="5" t="n">
        <v>1440</v>
      </c>
      <c r="G65" s="5" t="n">
        <v>281</v>
      </c>
      <c r="H65" s="7" t="n">
        <v>0.93</v>
      </c>
      <c r="I65" s="7" t="n">
        <v>0.78</v>
      </c>
      <c r="J65" s="7" t="n">
        <v>0.88</v>
      </c>
      <c r="K65" s="7" t="n">
        <v>0.88</v>
      </c>
      <c r="L65" s="7" t="n">
        <v>0.22</v>
      </c>
      <c r="M65" s="7">
        <f>H65*$T$5+I65*$T$6+J65*$T$7+K65*$T$8+MIN(F65/$T$11,1)*$T$9+MIN(L65/0.3,1)*$T$10</f>
        <v/>
      </c>
      <c r="N65" s="5">
        <f>RANK(M65,$M$5:$M$154)</f>
        <v/>
      </c>
      <c r="O65" s="5">
        <f>SUMPRODUCT(($C$5:$C$154=C65)*($M$5:$M$154&gt;M65))+1</f>
        <v/>
      </c>
      <c r="P65" s="5">
        <f>ROUNDUP(N65/30,0)</f>
        <v/>
      </c>
      <c r="Q65" s="5">
        <f>IF(OR(M65&lt;0.75,H65&lt;0.8),"Coaching","On Track")</f>
        <v/>
      </c>
      <c r="R65">
        <f>C65&amp;"|"&amp;O65</f>
        <v/>
      </c>
    </row>
    <row r="66">
      <c r="A66" s="10" t="inlineStr">
        <is>
          <t>A5062</t>
        </is>
      </c>
      <c r="B66" s="11" t="inlineStr">
        <is>
          <t>Lesego Mahlangu</t>
        </is>
      </c>
      <c r="C66" s="11" t="inlineStr">
        <is>
          <t>Shoprite Surveys</t>
        </is>
      </c>
      <c r="D66" s="11" t="inlineStr">
        <is>
          <t>Gift Dlamini</t>
        </is>
      </c>
      <c r="E66" s="10" t="n">
        <v>40</v>
      </c>
      <c r="F66" s="10" t="n">
        <v>1675</v>
      </c>
      <c r="G66" s="10" t="n">
        <v>284</v>
      </c>
      <c r="H66" s="12" t="n">
        <v>0.96</v>
      </c>
      <c r="I66" s="12" t="n">
        <v>0.87</v>
      </c>
      <c r="J66" s="12" t="n">
        <v>0.97</v>
      </c>
      <c r="K66" s="12" t="n">
        <v>0.83</v>
      </c>
      <c r="L66" s="12" t="n">
        <v>0.28</v>
      </c>
      <c r="M66" s="12">
        <f>H66*$T$5+I66*$T$6+J66*$T$7+K66*$T$8+MIN(F66/$T$11,1)*$T$9+MIN(L66/0.3,1)*$T$10</f>
        <v/>
      </c>
      <c r="N66" s="10">
        <f>RANK(M66,$M$5:$M$154)</f>
        <v/>
      </c>
      <c r="O66" s="10">
        <f>SUMPRODUCT(($C$5:$C$154=C66)*($M$5:$M$154&gt;M66))+1</f>
        <v/>
      </c>
      <c r="P66" s="10">
        <f>ROUNDUP(N66/30,0)</f>
        <v/>
      </c>
      <c r="Q66" s="10">
        <f>IF(OR(M66&lt;0.75,H66&lt;0.8),"Coaching","On Track")</f>
        <v/>
      </c>
      <c r="R66">
        <f>C66&amp;"|"&amp;O66</f>
        <v/>
      </c>
    </row>
    <row r="67">
      <c r="A67" s="5" t="inlineStr">
        <is>
          <t>A5063</t>
        </is>
      </c>
      <c r="B67" s="6" t="inlineStr">
        <is>
          <t>Thabo Fourie</t>
        </is>
      </c>
      <c r="C67" s="6" t="inlineStr">
        <is>
          <t>Vodacom Upgrades</t>
        </is>
      </c>
      <c r="D67" s="6" t="inlineStr">
        <is>
          <t>Zodwa Nel</t>
        </is>
      </c>
      <c r="E67" s="5" t="n">
        <v>20</v>
      </c>
      <c r="F67" s="5" t="n">
        <v>1265</v>
      </c>
      <c r="G67" s="5" t="n">
        <v>287</v>
      </c>
      <c r="H67" s="7" t="n">
        <v>0.96</v>
      </c>
      <c r="I67" s="7" t="n">
        <v>0.77</v>
      </c>
      <c r="J67" s="7" t="n">
        <v>0.9399999999999999</v>
      </c>
      <c r="K67" s="7" t="n">
        <v>0.97</v>
      </c>
      <c r="L67" s="7" t="n">
        <v>0.3</v>
      </c>
      <c r="M67" s="7">
        <f>H67*$T$5+I67*$T$6+J67*$T$7+K67*$T$8+MIN(F67/$T$11,1)*$T$9+MIN(L67/0.3,1)*$T$10</f>
        <v/>
      </c>
      <c r="N67" s="5">
        <f>RANK(M67,$M$5:$M$154)</f>
        <v/>
      </c>
      <c r="O67" s="5">
        <f>SUMPRODUCT(($C$5:$C$154=C67)*($M$5:$M$154&gt;M67))+1</f>
        <v/>
      </c>
      <c r="P67" s="5">
        <f>ROUNDUP(N67/30,0)</f>
        <v/>
      </c>
      <c r="Q67" s="5">
        <f>IF(OR(M67&lt;0.75,H67&lt;0.8),"Coaching","On Track")</f>
        <v/>
      </c>
      <c r="R67">
        <f>C67&amp;"|"&amp;O67</f>
        <v/>
      </c>
    </row>
    <row r="68">
      <c r="A68" s="10" t="inlineStr">
        <is>
          <t>A5064</t>
        </is>
      </c>
      <c r="B68" s="11" t="inlineStr">
        <is>
          <t>Zodwa Radebe</t>
        </is>
      </c>
      <c r="C68" s="11" t="inlineStr">
        <is>
          <t>MTN Retentions</t>
        </is>
      </c>
      <c r="D68" s="11" t="inlineStr">
        <is>
          <t>Mandla Mokoena</t>
        </is>
      </c>
      <c r="E68" s="10" t="n">
        <v>29</v>
      </c>
      <c r="F68" s="10" t="n">
        <v>1820</v>
      </c>
      <c r="G68" s="10" t="n">
        <v>248</v>
      </c>
      <c r="H68" s="12" t="n">
        <v>0.78</v>
      </c>
      <c r="I68" s="12" t="n">
        <v>0.77</v>
      </c>
      <c r="J68" s="12" t="n">
        <v>0.95</v>
      </c>
      <c r="K68" s="12" t="n">
        <v>0.87</v>
      </c>
      <c r="L68" s="12" t="n">
        <v>0.21</v>
      </c>
      <c r="M68" s="12">
        <f>H68*$T$5+I68*$T$6+J68*$T$7+K68*$T$8+MIN(F68/$T$11,1)*$T$9+MIN(L68/0.3,1)*$T$10</f>
        <v/>
      </c>
      <c r="N68" s="10">
        <f>RANK(M68,$M$5:$M$154)</f>
        <v/>
      </c>
      <c r="O68" s="10">
        <f>SUMPRODUCT(($C$5:$C$154=C68)*($M$5:$M$154&gt;M68))+1</f>
        <v/>
      </c>
      <c r="P68" s="10">
        <f>ROUNDUP(N68/30,0)</f>
        <v/>
      </c>
      <c r="Q68" s="10">
        <f>IF(OR(M68&lt;0.75,H68&lt;0.8),"Coaching","On Track")</f>
        <v/>
      </c>
      <c r="R68">
        <f>C68&amp;"|"&amp;O68</f>
        <v/>
      </c>
    </row>
    <row r="69">
      <c r="A69" s="5" t="inlineStr">
        <is>
          <t>A5065</t>
        </is>
      </c>
      <c r="B69" s="6" t="inlineStr">
        <is>
          <t>Mandla Sibiya</t>
        </is>
      </c>
      <c r="C69" s="6" t="inlineStr">
        <is>
          <t>MTN Retentions</t>
        </is>
      </c>
      <c r="D69" s="6" t="inlineStr">
        <is>
          <t>Zanele Govender</t>
        </is>
      </c>
      <c r="E69" s="5" t="n">
        <v>23</v>
      </c>
      <c r="F69" s="5" t="n">
        <v>1209</v>
      </c>
      <c r="G69" s="5" t="n">
        <v>313</v>
      </c>
      <c r="H69" s="7" t="n">
        <v>0.9399999999999999</v>
      </c>
      <c r="I69" s="7" t="n">
        <v>0.98</v>
      </c>
      <c r="J69" s="7" t="n">
        <v>0.86</v>
      </c>
      <c r="K69" s="7" t="n">
        <v>0.9</v>
      </c>
      <c r="L69" s="7" t="n">
        <v>0.23</v>
      </c>
      <c r="M69" s="7">
        <f>H69*$T$5+I69*$T$6+J69*$T$7+K69*$T$8+MIN(F69/$T$11,1)*$T$9+MIN(L69/0.3,1)*$T$10</f>
        <v/>
      </c>
      <c r="N69" s="5">
        <f>RANK(M69,$M$5:$M$154)</f>
        <v/>
      </c>
      <c r="O69" s="5">
        <f>SUMPRODUCT(($C$5:$C$154=C69)*($M$5:$M$154&gt;M69))+1</f>
        <v/>
      </c>
      <c r="P69" s="5">
        <f>ROUNDUP(N69/30,0)</f>
        <v/>
      </c>
      <c r="Q69" s="5">
        <f>IF(OR(M69&lt;0.75,H69&lt;0.8),"Coaching","On Track")</f>
        <v/>
      </c>
      <c r="R69">
        <f>C69&amp;"|"&amp;O69</f>
        <v/>
      </c>
    </row>
    <row r="70">
      <c r="A70" s="10" t="inlineStr">
        <is>
          <t>A5066</t>
        </is>
      </c>
      <c r="B70" s="11" t="inlineStr">
        <is>
          <t>Ntombi Naidoo</t>
        </is>
      </c>
      <c r="C70" s="11" t="inlineStr">
        <is>
          <t>OUTsurance Sales</t>
        </is>
      </c>
      <c r="D70" s="11" t="inlineStr">
        <is>
          <t>Gift Dlamini</t>
        </is>
      </c>
      <c r="E70" s="10" t="n">
        <v>17</v>
      </c>
      <c r="F70" s="10" t="n">
        <v>1167</v>
      </c>
      <c r="G70" s="10" t="n">
        <v>337</v>
      </c>
      <c r="H70" s="12" t="n">
        <v>0.9</v>
      </c>
      <c r="I70" s="12" t="n">
        <v>0.77</v>
      </c>
      <c r="J70" s="12" t="n">
        <v>0.84</v>
      </c>
      <c r="K70" s="12" t="n">
        <v>0.97</v>
      </c>
      <c r="L70" s="12" t="n">
        <v>0.17</v>
      </c>
      <c r="M70" s="12">
        <f>H70*$T$5+I70*$T$6+J70*$T$7+K70*$T$8+MIN(F70/$T$11,1)*$T$9+MIN(L70/0.3,1)*$T$10</f>
        <v/>
      </c>
      <c r="N70" s="10">
        <f>RANK(M70,$M$5:$M$154)</f>
        <v/>
      </c>
      <c r="O70" s="10">
        <f>SUMPRODUCT(($C$5:$C$154=C70)*($M$5:$M$154&gt;M70))+1</f>
        <v/>
      </c>
      <c r="P70" s="10">
        <f>ROUNDUP(N70/30,0)</f>
        <v/>
      </c>
      <c r="Q70" s="10">
        <f>IF(OR(M70&lt;0.75,H70&lt;0.8),"Coaching","On Track")</f>
        <v/>
      </c>
      <c r="R70">
        <f>C70&amp;"|"&amp;O70</f>
        <v/>
      </c>
    </row>
    <row r="71">
      <c r="A71" s="5" t="inlineStr">
        <is>
          <t>A5067</t>
        </is>
      </c>
      <c r="B71" s="6" t="inlineStr">
        <is>
          <t>Sipho Pillay</t>
        </is>
      </c>
      <c r="C71" s="6" t="inlineStr">
        <is>
          <t>Vodacom Upgrades</t>
        </is>
      </c>
      <c r="D71" s="6" t="inlineStr">
        <is>
          <t>Mandla Mokoena</t>
        </is>
      </c>
      <c r="E71" s="5" t="n">
        <v>20</v>
      </c>
      <c r="F71" s="5" t="n">
        <v>1927</v>
      </c>
      <c r="G71" s="5" t="n">
        <v>325</v>
      </c>
      <c r="H71" s="7" t="n">
        <v>0.73</v>
      </c>
      <c r="I71" s="7" t="n">
        <v>0.86</v>
      </c>
      <c r="J71" s="7" t="n">
        <v>0.85</v>
      </c>
      <c r="K71" s="7" t="n">
        <v>0.96</v>
      </c>
      <c r="L71" s="7" t="n">
        <v>0.22</v>
      </c>
      <c r="M71" s="7">
        <f>H71*$T$5+I71*$T$6+J71*$T$7+K71*$T$8+MIN(F71/$T$11,1)*$T$9+MIN(L71/0.3,1)*$T$10</f>
        <v/>
      </c>
      <c r="N71" s="5">
        <f>RANK(M71,$M$5:$M$154)</f>
        <v/>
      </c>
      <c r="O71" s="5">
        <f>SUMPRODUCT(($C$5:$C$154=C71)*($M$5:$M$154&gt;M71))+1</f>
        <v/>
      </c>
      <c r="P71" s="5">
        <f>ROUNDUP(N71/30,0)</f>
        <v/>
      </c>
      <c r="Q71" s="5">
        <f>IF(OR(M71&lt;0.75,H71&lt;0.8),"Coaching","On Track")</f>
        <v/>
      </c>
      <c r="R71">
        <f>C71&amp;"|"&amp;O71</f>
        <v/>
      </c>
    </row>
    <row r="72">
      <c r="A72" s="10" t="inlineStr">
        <is>
          <t>A5068</t>
        </is>
      </c>
      <c r="B72" s="11" t="inlineStr">
        <is>
          <t>Nkanyiso Zulu</t>
        </is>
      </c>
      <c r="C72" s="11" t="inlineStr">
        <is>
          <t>DStv Upsell</t>
        </is>
      </c>
      <c r="D72" s="11" t="inlineStr">
        <is>
          <t>Zanele Govender</t>
        </is>
      </c>
      <c r="E72" s="10" t="n">
        <v>24</v>
      </c>
      <c r="F72" s="10" t="n">
        <v>1498</v>
      </c>
      <c r="G72" s="10" t="n">
        <v>236</v>
      </c>
      <c r="H72" s="12" t="n">
        <v>0.89</v>
      </c>
      <c r="I72" s="12" t="n">
        <v>0.8100000000000001</v>
      </c>
      <c r="J72" s="12" t="n">
        <v>0.9</v>
      </c>
      <c r="K72" s="12" t="n">
        <v>0.95</v>
      </c>
      <c r="L72" s="12" t="n">
        <v>0.08</v>
      </c>
      <c r="M72" s="12">
        <f>H72*$T$5+I72*$T$6+J72*$T$7+K72*$T$8+MIN(F72/$T$11,1)*$T$9+MIN(L72/0.3,1)*$T$10</f>
        <v/>
      </c>
      <c r="N72" s="10">
        <f>RANK(M72,$M$5:$M$154)</f>
        <v/>
      </c>
      <c r="O72" s="10">
        <f>SUMPRODUCT(($C$5:$C$154=C72)*($M$5:$M$154&gt;M72))+1</f>
        <v/>
      </c>
      <c r="P72" s="10">
        <f>ROUNDUP(N72/30,0)</f>
        <v/>
      </c>
      <c r="Q72" s="10">
        <f>IF(OR(M72&lt;0.75,H72&lt;0.8),"Coaching","On Track")</f>
        <v/>
      </c>
      <c r="R72">
        <f>C72&amp;"|"&amp;O72</f>
        <v/>
      </c>
    </row>
    <row r="73">
      <c r="A73" s="5" t="inlineStr">
        <is>
          <t>A5069</t>
        </is>
      </c>
      <c r="B73" s="6" t="inlineStr">
        <is>
          <t>Anele Sibiya</t>
        </is>
      </c>
      <c r="C73" s="6" t="inlineStr">
        <is>
          <t>Shoprite Surveys</t>
        </is>
      </c>
      <c r="D73" s="6" t="inlineStr">
        <is>
          <t>Mandla Mokoena</t>
        </is>
      </c>
      <c r="E73" s="5" t="n">
        <v>30</v>
      </c>
      <c r="F73" s="5" t="n">
        <v>1180</v>
      </c>
      <c r="G73" s="5" t="n">
        <v>211</v>
      </c>
      <c r="H73" s="7" t="n">
        <v>0.97</v>
      </c>
      <c r="I73" s="7" t="n">
        <v>0.77</v>
      </c>
      <c r="J73" s="7" t="n">
        <v>0.84</v>
      </c>
      <c r="K73" s="7" t="n">
        <v>0.9</v>
      </c>
      <c r="L73" s="7" t="n">
        <v>0.04</v>
      </c>
      <c r="M73" s="7">
        <f>H73*$T$5+I73*$T$6+J73*$T$7+K73*$T$8+MIN(F73/$T$11,1)*$T$9+MIN(L73/0.3,1)*$T$10</f>
        <v/>
      </c>
      <c r="N73" s="5">
        <f>RANK(M73,$M$5:$M$154)</f>
        <v/>
      </c>
      <c r="O73" s="5">
        <f>SUMPRODUCT(($C$5:$C$154=C73)*($M$5:$M$154&gt;M73))+1</f>
        <v/>
      </c>
      <c r="P73" s="5">
        <f>ROUNDUP(N73/30,0)</f>
        <v/>
      </c>
      <c r="Q73" s="5">
        <f>IF(OR(M73&lt;0.75,H73&lt;0.8),"Coaching","On Track")</f>
        <v/>
      </c>
      <c r="R73">
        <f>C73&amp;"|"&amp;O73</f>
        <v/>
      </c>
    </row>
    <row r="74">
      <c r="A74" s="10" t="inlineStr">
        <is>
          <t>A5070</t>
        </is>
      </c>
      <c r="B74" s="11" t="inlineStr">
        <is>
          <t>Rethabile Petersen</t>
        </is>
      </c>
      <c r="C74" s="11" t="inlineStr">
        <is>
          <t>Takealot Care</t>
        </is>
      </c>
      <c r="D74" s="11" t="inlineStr">
        <is>
          <t>Zanele Meyer</t>
        </is>
      </c>
      <c r="E74" s="10" t="n">
        <v>35</v>
      </c>
      <c r="F74" s="10" t="n">
        <v>1892</v>
      </c>
      <c r="G74" s="10" t="n">
        <v>245</v>
      </c>
      <c r="H74" s="12" t="n">
        <v>0.97</v>
      </c>
      <c r="I74" s="12" t="n">
        <v>0.84</v>
      </c>
      <c r="J74" s="12" t="n">
        <v>0.93</v>
      </c>
      <c r="K74" s="12" t="n">
        <v>0.9399999999999999</v>
      </c>
      <c r="L74" s="12" t="n">
        <v>0.14</v>
      </c>
      <c r="M74" s="12">
        <f>H74*$T$5+I74*$T$6+J74*$T$7+K74*$T$8+MIN(F74/$T$11,1)*$T$9+MIN(L74/0.3,1)*$T$10</f>
        <v/>
      </c>
      <c r="N74" s="10">
        <f>RANK(M74,$M$5:$M$154)</f>
        <v/>
      </c>
      <c r="O74" s="10">
        <f>SUMPRODUCT(($C$5:$C$154=C74)*($M$5:$M$154&gt;M74))+1</f>
        <v/>
      </c>
      <c r="P74" s="10">
        <f>ROUNDUP(N74/30,0)</f>
        <v/>
      </c>
      <c r="Q74" s="10">
        <f>IF(OR(M74&lt;0.75,H74&lt;0.8),"Coaching","On Track")</f>
        <v/>
      </c>
      <c r="R74">
        <f>C74&amp;"|"&amp;O74</f>
        <v/>
      </c>
    </row>
    <row r="75">
      <c r="A75" s="5" t="inlineStr">
        <is>
          <t>A5071</t>
        </is>
      </c>
      <c r="B75" s="6" t="inlineStr">
        <is>
          <t>Zodwa Buthelezi</t>
        </is>
      </c>
      <c r="C75" s="6" t="inlineStr">
        <is>
          <t>MTN Retentions</t>
        </is>
      </c>
      <c r="D75" s="6" t="inlineStr">
        <is>
          <t>Precious Khumalo</t>
        </is>
      </c>
      <c r="E75" s="5" t="n">
        <v>30</v>
      </c>
      <c r="F75" s="5" t="n">
        <v>1592</v>
      </c>
      <c r="G75" s="5" t="n">
        <v>293</v>
      </c>
      <c r="H75" s="7" t="n">
        <v>0.9399999999999999</v>
      </c>
      <c r="I75" s="7" t="n">
        <v>0.84</v>
      </c>
      <c r="J75" s="7" t="n">
        <v>0.85</v>
      </c>
      <c r="K75" s="7" t="n">
        <v>0.98</v>
      </c>
      <c r="L75" s="7" t="n">
        <v>0.3</v>
      </c>
      <c r="M75" s="7">
        <f>H75*$T$5+I75*$T$6+J75*$T$7+K75*$T$8+MIN(F75/$T$11,1)*$T$9+MIN(L75/0.3,1)*$T$10</f>
        <v/>
      </c>
      <c r="N75" s="5">
        <f>RANK(M75,$M$5:$M$154)</f>
        <v/>
      </c>
      <c r="O75" s="5">
        <f>SUMPRODUCT(($C$5:$C$154=C75)*($M$5:$M$154&gt;M75))+1</f>
        <v/>
      </c>
      <c r="P75" s="5">
        <f>ROUNDUP(N75/30,0)</f>
        <v/>
      </c>
      <c r="Q75" s="5">
        <f>IF(OR(M75&lt;0.75,H75&lt;0.8),"Coaching","On Track")</f>
        <v/>
      </c>
      <c r="R75">
        <f>C75&amp;"|"&amp;O75</f>
        <v/>
      </c>
    </row>
    <row r="76">
      <c r="A76" s="10" t="inlineStr">
        <is>
          <t>A5072</t>
        </is>
      </c>
      <c r="B76" s="11" t="inlineStr">
        <is>
          <t>Lwazi Buthelezi</t>
        </is>
      </c>
      <c r="C76" s="11" t="inlineStr">
        <is>
          <t>ABSA Collections</t>
        </is>
      </c>
      <c r="D76" s="11" t="inlineStr">
        <is>
          <t>Anele Govender</t>
        </is>
      </c>
      <c r="E76" s="10" t="n">
        <v>12</v>
      </c>
      <c r="F76" s="10" t="n">
        <v>1121</v>
      </c>
      <c r="G76" s="10" t="n">
        <v>352</v>
      </c>
      <c r="H76" s="12" t="n">
        <v>0.84</v>
      </c>
      <c r="I76" s="12" t="n">
        <v>0.78</v>
      </c>
      <c r="J76" s="12" t="n">
        <v>0.97</v>
      </c>
      <c r="K76" s="12" t="n">
        <v>0.97</v>
      </c>
      <c r="L76" s="12" t="n">
        <v>0.26</v>
      </c>
      <c r="M76" s="12">
        <f>H76*$T$5+I76*$T$6+J76*$T$7+K76*$T$8+MIN(F76/$T$11,1)*$T$9+MIN(L76/0.3,1)*$T$10</f>
        <v/>
      </c>
      <c r="N76" s="10">
        <f>RANK(M76,$M$5:$M$154)</f>
        <v/>
      </c>
      <c r="O76" s="10">
        <f>SUMPRODUCT(($C$5:$C$154=C76)*($M$5:$M$154&gt;M76))+1</f>
        <v/>
      </c>
      <c r="P76" s="10">
        <f>ROUNDUP(N76/30,0)</f>
        <v/>
      </c>
      <c r="Q76" s="10">
        <f>IF(OR(M76&lt;0.75,H76&lt;0.8),"Coaching","On Track")</f>
        <v/>
      </c>
      <c r="R76">
        <f>C76&amp;"|"&amp;O76</f>
        <v/>
      </c>
    </row>
    <row r="77">
      <c r="A77" s="5" t="inlineStr">
        <is>
          <t>A5073</t>
        </is>
      </c>
      <c r="B77" s="6" t="inlineStr">
        <is>
          <t>Anele Tshabalala</t>
        </is>
      </c>
      <c r="C77" s="6" t="inlineStr">
        <is>
          <t>Takealot Care</t>
        </is>
      </c>
      <c r="D77" s="6" t="inlineStr">
        <is>
          <t>Zodwa Molefe</t>
        </is>
      </c>
      <c r="E77" s="5" t="n">
        <v>6</v>
      </c>
      <c r="F77" s="5" t="n">
        <v>1809</v>
      </c>
      <c r="G77" s="5" t="n">
        <v>286</v>
      </c>
      <c r="H77" s="7" t="n">
        <v>0.96</v>
      </c>
      <c r="I77" s="7" t="n">
        <v>0.89</v>
      </c>
      <c r="J77" s="7" t="n">
        <v>0.85</v>
      </c>
      <c r="K77" s="7" t="n">
        <v>0.96</v>
      </c>
      <c r="L77" s="7" t="n">
        <v>0.22</v>
      </c>
      <c r="M77" s="7">
        <f>H77*$T$5+I77*$T$6+J77*$T$7+K77*$T$8+MIN(F77/$T$11,1)*$T$9+MIN(L77/0.3,1)*$T$10</f>
        <v/>
      </c>
      <c r="N77" s="5">
        <f>RANK(M77,$M$5:$M$154)</f>
        <v/>
      </c>
      <c r="O77" s="5">
        <f>SUMPRODUCT(($C$5:$C$154=C77)*($M$5:$M$154&gt;M77))+1</f>
        <v/>
      </c>
      <c r="P77" s="5">
        <f>ROUNDUP(N77/30,0)</f>
        <v/>
      </c>
      <c r="Q77" s="5">
        <f>IF(OR(M77&lt;0.75,H77&lt;0.8),"Coaching","On Track")</f>
        <v/>
      </c>
      <c r="R77">
        <f>C77&amp;"|"&amp;O77</f>
        <v/>
      </c>
    </row>
    <row r="78">
      <c r="A78" s="10" t="inlineStr">
        <is>
          <t>A5074</t>
        </is>
      </c>
      <c r="B78" s="11" t="inlineStr">
        <is>
          <t>Lindiwe Pillay</t>
        </is>
      </c>
      <c r="C78" s="11" t="inlineStr">
        <is>
          <t>Telkom Tech Support</t>
        </is>
      </c>
      <c r="D78" s="11" t="inlineStr">
        <is>
          <t>Lerato Nel</t>
        </is>
      </c>
      <c r="E78" s="10" t="n">
        <v>5</v>
      </c>
      <c r="F78" s="10" t="n">
        <v>1133</v>
      </c>
      <c r="G78" s="10" t="n">
        <v>225</v>
      </c>
      <c r="H78" s="12" t="n">
        <v>0.73</v>
      </c>
      <c r="I78" s="12" t="n">
        <v>0.89</v>
      </c>
      <c r="J78" s="12" t="n">
        <v>0.89</v>
      </c>
      <c r="K78" s="12" t="n">
        <v>0.9399999999999999</v>
      </c>
      <c r="L78" s="12" t="n">
        <v>0.06</v>
      </c>
      <c r="M78" s="12">
        <f>H78*$T$5+I78*$T$6+J78*$T$7+K78*$T$8+MIN(F78/$T$11,1)*$T$9+MIN(L78/0.3,1)*$T$10</f>
        <v/>
      </c>
      <c r="N78" s="10">
        <f>RANK(M78,$M$5:$M$154)</f>
        <v/>
      </c>
      <c r="O78" s="10">
        <f>SUMPRODUCT(($C$5:$C$154=C78)*($M$5:$M$154&gt;M78))+1</f>
        <v/>
      </c>
      <c r="P78" s="10">
        <f>ROUNDUP(N78/30,0)</f>
        <v/>
      </c>
      <c r="Q78" s="10">
        <f>IF(OR(M78&lt;0.75,H78&lt;0.8),"Coaching","On Track")</f>
        <v/>
      </c>
      <c r="R78">
        <f>C78&amp;"|"&amp;O78</f>
        <v/>
      </c>
    </row>
    <row r="79">
      <c r="A79" s="5" t="inlineStr">
        <is>
          <t>A5075</t>
        </is>
      </c>
      <c r="B79" s="6" t="inlineStr">
        <is>
          <t>Lwazi Dlamini</t>
        </is>
      </c>
      <c r="C79" s="6" t="inlineStr">
        <is>
          <t>Cell C Winback</t>
        </is>
      </c>
      <c r="D79" s="6" t="inlineStr">
        <is>
          <t>Zanele Govender</t>
        </is>
      </c>
      <c r="E79" s="5" t="n">
        <v>36</v>
      </c>
      <c r="F79" s="5" t="n">
        <v>937</v>
      </c>
      <c r="G79" s="5" t="n">
        <v>309</v>
      </c>
      <c r="H79" s="7" t="n">
        <v>0.78</v>
      </c>
      <c r="I79" s="7" t="n">
        <v>0.73</v>
      </c>
      <c r="J79" s="7" t="n">
        <v>0.98</v>
      </c>
      <c r="K79" s="7" t="n">
        <v>0.98</v>
      </c>
      <c r="L79" s="7" t="n">
        <v>0.22</v>
      </c>
      <c r="M79" s="7">
        <f>H79*$T$5+I79*$T$6+J79*$T$7+K79*$T$8+MIN(F79/$T$11,1)*$T$9+MIN(L79/0.3,1)*$T$10</f>
        <v/>
      </c>
      <c r="N79" s="5">
        <f>RANK(M79,$M$5:$M$154)</f>
        <v/>
      </c>
      <c r="O79" s="5">
        <f>SUMPRODUCT(($C$5:$C$154=C79)*($M$5:$M$154&gt;M79))+1</f>
        <v/>
      </c>
      <c r="P79" s="5">
        <f>ROUNDUP(N79/30,0)</f>
        <v/>
      </c>
      <c r="Q79" s="5">
        <f>IF(OR(M79&lt;0.75,H79&lt;0.8),"Coaching","On Track")</f>
        <v/>
      </c>
      <c r="R79">
        <f>C79&amp;"|"&amp;O79</f>
        <v/>
      </c>
    </row>
    <row r="80">
      <c r="A80" s="10" t="inlineStr">
        <is>
          <t>A5076</t>
        </is>
      </c>
      <c r="B80" s="11" t="inlineStr">
        <is>
          <t>Lwazi Van Wyk</t>
        </is>
      </c>
      <c r="C80" s="11" t="inlineStr">
        <is>
          <t>DStv Upsell</t>
        </is>
      </c>
      <c r="D80" s="11" t="inlineStr">
        <is>
          <t>Vusi Molefe</t>
        </is>
      </c>
      <c r="E80" s="10" t="n">
        <v>12</v>
      </c>
      <c r="F80" s="10" t="n">
        <v>1656</v>
      </c>
      <c r="G80" s="10" t="n">
        <v>338</v>
      </c>
      <c r="H80" s="12" t="n">
        <v>0.83</v>
      </c>
      <c r="I80" s="12" t="n">
        <v>0.88</v>
      </c>
      <c r="J80" s="12" t="n">
        <v>0.86</v>
      </c>
      <c r="K80" s="12" t="n">
        <v>0.87</v>
      </c>
      <c r="L80" s="12" t="n">
        <v>0.09</v>
      </c>
      <c r="M80" s="12">
        <f>H80*$T$5+I80*$T$6+J80*$T$7+K80*$T$8+MIN(F80/$T$11,1)*$T$9+MIN(L80/0.3,1)*$T$10</f>
        <v/>
      </c>
      <c r="N80" s="10">
        <f>RANK(M80,$M$5:$M$154)</f>
        <v/>
      </c>
      <c r="O80" s="10">
        <f>SUMPRODUCT(($C$5:$C$154=C80)*($M$5:$M$154&gt;M80))+1</f>
        <v/>
      </c>
      <c r="P80" s="10">
        <f>ROUNDUP(N80/30,0)</f>
        <v/>
      </c>
      <c r="Q80" s="10">
        <f>IF(OR(M80&lt;0.75,H80&lt;0.8),"Coaching","On Track")</f>
        <v/>
      </c>
      <c r="R80">
        <f>C80&amp;"|"&amp;O80</f>
        <v/>
      </c>
    </row>
    <row r="81">
      <c r="A81" s="5" t="inlineStr">
        <is>
          <t>A5077</t>
        </is>
      </c>
      <c r="B81" s="6" t="inlineStr">
        <is>
          <t>Rethabile Jacobs</t>
        </is>
      </c>
      <c r="C81" s="6" t="inlineStr">
        <is>
          <t>Takealot Care</t>
        </is>
      </c>
      <c r="D81" s="6" t="inlineStr">
        <is>
          <t>Gift Dlamini</t>
        </is>
      </c>
      <c r="E81" s="5" t="n">
        <v>23</v>
      </c>
      <c r="F81" s="5" t="n">
        <v>1655</v>
      </c>
      <c r="G81" s="5" t="n">
        <v>276</v>
      </c>
      <c r="H81" s="7" t="n">
        <v>0.85</v>
      </c>
      <c r="I81" s="7" t="n">
        <v>0.79</v>
      </c>
      <c r="J81" s="7" t="n">
        <v>0.85</v>
      </c>
      <c r="K81" s="7" t="n">
        <v>0.87</v>
      </c>
      <c r="L81" s="7" t="n">
        <v>0.19</v>
      </c>
      <c r="M81" s="7">
        <f>H81*$T$5+I81*$T$6+J81*$T$7+K81*$T$8+MIN(F81/$T$11,1)*$T$9+MIN(L81/0.3,1)*$T$10</f>
        <v/>
      </c>
      <c r="N81" s="5">
        <f>RANK(M81,$M$5:$M$154)</f>
        <v/>
      </c>
      <c r="O81" s="5">
        <f>SUMPRODUCT(($C$5:$C$154=C81)*($M$5:$M$154&gt;M81))+1</f>
        <v/>
      </c>
      <c r="P81" s="5">
        <f>ROUNDUP(N81/30,0)</f>
        <v/>
      </c>
      <c r="Q81" s="5">
        <f>IF(OR(M81&lt;0.75,H81&lt;0.8),"Coaching","On Track")</f>
        <v/>
      </c>
      <c r="R81">
        <f>C81&amp;"|"&amp;O81</f>
        <v/>
      </c>
    </row>
    <row r="82">
      <c r="A82" s="10" t="inlineStr">
        <is>
          <t>A5078</t>
        </is>
      </c>
      <c r="B82" s="11" t="inlineStr">
        <is>
          <t>Lesego Jacobs</t>
        </is>
      </c>
      <c r="C82" s="11" t="inlineStr">
        <is>
          <t>ABSA Collections</t>
        </is>
      </c>
      <c r="D82" s="11" t="inlineStr">
        <is>
          <t>Thabo Buthelezi</t>
        </is>
      </c>
      <c r="E82" s="10" t="n">
        <v>17</v>
      </c>
      <c r="F82" s="10" t="n">
        <v>2076</v>
      </c>
      <c r="G82" s="10" t="n">
        <v>267</v>
      </c>
      <c r="H82" s="12" t="n">
        <v>0.78</v>
      </c>
      <c r="I82" s="12" t="n">
        <v>0.74</v>
      </c>
      <c r="J82" s="12" t="n">
        <v>0.97</v>
      </c>
      <c r="K82" s="12" t="n">
        <v>0.85</v>
      </c>
      <c r="L82" s="12" t="n">
        <v>0.2</v>
      </c>
      <c r="M82" s="12">
        <f>H82*$T$5+I82*$T$6+J82*$T$7+K82*$T$8+MIN(F82/$T$11,1)*$T$9+MIN(L82/0.3,1)*$T$10</f>
        <v/>
      </c>
      <c r="N82" s="10">
        <f>RANK(M82,$M$5:$M$154)</f>
        <v/>
      </c>
      <c r="O82" s="10">
        <f>SUMPRODUCT(($C$5:$C$154=C82)*($M$5:$M$154&gt;M82))+1</f>
        <v/>
      </c>
      <c r="P82" s="10">
        <f>ROUNDUP(N82/30,0)</f>
        <v/>
      </c>
      <c r="Q82" s="10">
        <f>IF(OR(M82&lt;0.75,H82&lt;0.8),"Coaching","On Track")</f>
        <v/>
      </c>
      <c r="R82">
        <f>C82&amp;"|"&amp;O82</f>
        <v/>
      </c>
    </row>
    <row r="83">
      <c r="A83" s="5" t="inlineStr">
        <is>
          <t>A5079</t>
        </is>
      </c>
      <c r="B83" s="6" t="inlineStr">
        <is>
          <t>Zinhle Petersen</t>
        </is>
      </c>
      <c r="C83" s="6" t="inlineStr">
        <is>
          <t>Nedbank Debt Review</t>
        </is>
      </c>
      <c r="D83" s="6" t="inlineStr">
        <is>
          <t>Anele Govender</t>
        </is>
      </c>
      <c r="E83" s="5" t="n">
        <v>8</v>
      </c>
      <c r="F83" s="5" t="n">
        <v>1617</v>
      </c>
      <c r="G83" s="5" t="n">
        <v>222</v>
      </c>
      <c r="H83" s="7" t="n">
        <v>0.76</v>
      </c>
      <c r="I83" s="7" t="n">
        <v>0.83</v>
      </c>
      <c r="J83" s="7" t="n">
        <v>0.91</v>
      </c>
      <c r="K83" s="7" t="n">
        <v>0.91</v>
      </c>
      <c r="L83" s="7" t="n">
        <v>0.24</v>
      </c>
      <c r="M83" s="7">
        <f>H83*$T$5+I83*$T$6+J83*$T$7+K83*$T$8+MIN(F83/$T$11,1)*$T$9+MIN(L83/0.3,1)*$T$10</f>
        <v/>
      </c>
      <c r="N83" s="5">
        <f>RANK(M83,$M$5:$M$154)</f>
        <v/>
      </c>
      <c r="O83" s="5">
        <f>SUMPRODUCT(($C$5:$C$154=C83)*($M$5:$M$154&gt;M83))+1</f>
        <v/>
      </c>
      <c r="P83" s="5">
        <f>ROUNDUP(N83/30,0)</f>
        <v/>
      </c>
      <c r="Q83" s="5">
        <f>IF(OR(M83&lt;0.75,H83&lt;0.8),"Coaching","On Track")</f>
        <v/>
      </c>
      <c r="R83">
        <f>C83&amp;"|"&amp;O83</f>
        <v/>
      </c>
    </row>
    <row r="84">
      <c r="A84" s="10" t="inlineStr">
        <is>
          <t>A5080</t>
        </is>
      </c>
      <c r="B84" s="11" t="inlineStr">
        <is>
          <t>Dineo Van Wyk</t>
        </is>
      </c>
      <c r="C84" s="11" t="inlineStr">
        <is>
          <t>ABSA Collections</t>
        </is>
      </c>
      <c r="D84" s="11" t="inlineStr">
        <is>
          <t>Vusi Molefe</t>
        </is>
      </c>
      <c r="E84" s="10" t="n">
        <v>35</v>
      </c>
      <c r="F84" s="10" t="n">
        <v>1775</v>
      </c>
      <c r="G84" s="10" t="n">
        <v>290</v>
      </c>
      <c r="H84" s="12" t="n">
        <v>0.89</v>
      </c>
      <c r="I84" s="12" t="n">
        <v>0.93</v>
      </c>
      <c r="J84" s="12" t="n">
        <v>0.95</v>
      </c>
      <c r="K84" s="12" t="n">
        <v>0.84</v>
      </c>
      <c r="L84" s="12" t="n">
        <v>0.15</v>
      </c>
      <c r="M84" s="12">
        <f>H84*$T$5+I84*$T$6+J84*$T$7+K84*$T$8+MIN(F84/$T$11,1)*$T$9+MIN(L84/0.3,1)*$T$10</f>
        <v/>
      </c>
      <c r="N84" s="10">
        <f>RANK(M84,$M$5:$M$154)</f>
        <v/>
      </c>
      <c r="O84" s="10">
        <f>SUMPRODUCT(($C$5:$C$154=C84)*($M$5:$M$154&gt;M84))+1</f>
        <v/>
      </c>
      <c r="P84" s="10">
        <f>ROUNDUP(N84/30,0)</f>
        <v/>
      </c>
      <c r="Q84" s="10">
        <f>IF(OR(M84&lt;0.75,H84&lt;0.8),"Coaching","On Track")</f>
        <v/>
      </c>
      <c r="R84">
        <f>C84&amp;"|"&amp;O84</f>
        <v/>
      </c>
    </row>
    <row r="85">
      <c r="A85" s="5" t="inlineStr">
        <is>
          <t>A5081</t>
        </is>
      </c>
      <c r="B85" s="6" t="inlineStr">
        <is>
          <t>Themba Mokoena</t>
        </is>
      </c>
      <c r="C85" s="6" t="inlineStr">
        <is>
          <t>Telkom Tech Support</t>
        </is>
      </c>
      <c r="D85" s="6" t="inlineStr">
        <is>
          <t>Refilwe Govender</t>
        </is>
      </c>
      <c r="E85" s="5" t="n">
        <v>7</v>
      </c>
      <c r="F85" s="5" t="n">
        <v>2008</v>
      </c>
      <c r="G85" s="5" t="n">
        <v>351</v>
      </c>
      <c r="H85" s="7" t="n">
        <v>0.93</v>
      </c>
      <c r="I85" s="7" t="n">
        <v>0.82</v>
      </c>
      <c r="J85" s="7" t="n">
        <v>0.96</v>
      </c>
      <c r="K85" s="7" t="n">
        <v>0.89</v>
      </c>
      <c r="L85" s="7" t="n">
        <v>0.07000000000000001</v>
      </c>
      <c r="M85" s="7">
        <f>H85*$T$5+I85*$T$6+J85*$T$7+K85*$T$8+MIN(F85/$T$11,1)*$T$9+MIN(L85/0.3,1)*$T$10</f>
        <v/>
      </c>
      <c r="N85" s="5">
        <f>RANK(M85,$M$5:$M$154)</f>
        <v/>
      </c>
      <c r="O85" s="5">
        <f>SUMPRODUCT(($C$5:$C$154=C85)*($M$5:$M$154&gt;M85))+1</f>
        <v/>
      </c>
      <c r="P85" s="5">
        <f>ROUNDUP(N85/30,0)</f>
        <v/>
      </c>
      <c r="Q85" s="5">
        <f>IF(OR(M85&lt;0.75,H85&lt;0.8),"Coaching","On Track")</f>
        <v/>
      </c>
      <c r="R85">
        <f>C85&amp;"|"&amp;O85</f>
        <v/>
      </c>
    </row>
    <row r="86">
      <c r="A86" s="10" t="inlineStr">
        <is>
          <t>A5082</t>
        </is>
      </c>
      <c r="B86" s="11" t="inlineStr">
        <is>
          <t>Mpho Khumalo</t>
        </is>
      </c>
      <c r="C86" s="11" t="inlineStr">
        <is>
          <t>Shoprite Surveys</t>
        </is>
      </c>
      <c r="D86" s="11" t="inlineStr">
        <is>
          <t>Refilwe Govender</t>
        </is>
      </c>
      <c r="E86" s="10" t="n">
        <v>32</v>
      </c>
      <c r="F86" s="10" t="n">
        <v>1072</v>
      </c>
      <c r="G86" s="10" t="n">
        <v>235</v>
      </c>
      <c r="H86" s="12" t="n">
        <v>0.91</v>
      </c>
      <c r="I86" s="12" t="n">
        <v>0.88</v>
      </c>
      <c r="J86" s="12" t="n">
        <v>0.8100000000000001</v>
      </c>
      <c r="K86" s="12" t="n">
        <v>0.91</v>
      </c>
      <c r="L86" s="12" t="n">
        <v>0.25</v>
      </c>
      <c r="M86" s="12">
        <f>H86*$T$5+I86*$T$6+J86*$T$7+K86*$T$8+MIN(F86/$T$11,1)*$T$9+MIN(L86/0.3,1)*$T$10</f>
        <v/>
      </c>
      <c r="N86" s="10">
        <f>RANK(M86,$M$5:$M$154)</f>
        <v/>
      </c>
      <c r="O86" s="10">
        <f>SUMPRODUCT(($C$5:$C$154=C86)*($M$5:$M$154&gt;M86))+1</f>
        <v/>
      </c>
      <c r="P86" s="10">
        <f>ROUNDUP(N86/30,0)</f>
        <v/>
      </c>
      <c r="Q86" s="10">
        <f>IF(OR(M86&lt;0.75,H86&lt;0.8),"Coaching","On Track")</f>
        <v/>
      </c>
      <c r="R86">
        <f>C86&amp;"|"&amp;O86</f>
        <v/>
      </c>
    </row>
    <row r="87">
      <c r="A87" s="5" t="inlineStr">
        <is>
          <t>A5083</t>
        </is>
      </c>
      <c r="B87" s="6" t="inlineStr">
        <is>
          <t>Rethabile Ngcobo</t>
        </is>
      </c>
      <c r="C87" s="6" t="inlineStr">
        <is>
          <t>Discovery Lead Gen</t>
        </is>
      </c>
      <c r="D87" s="6" t="inlineStr">
        <is>
          <t>Mandla Mokoena</t>
        </is>
      </c>
      <c r="E87" s="5" t="n">
        <v>17</v>
      </c>
      <c r="F87" s="5" t="n">
        <v>1101</v>
      </c>
      <c r="G87" s="5" t="n">
        <v>331</v>
      </c>
      <c r="H87" s="7" t="n">
        <v>0.97</v>
      </c>
      <c r="I87" s="7" t="n">
        <v>0.87</v>
      </c>
      <c r="J87" s="7" t="n">
        <v>0.95</v>
      </c>
      <c r="K87" s="7" t="n">
        <v>0.91</v>
      </c>
      <c r="L87" s="7" t="n">
        <v>0.09</v>
      </c>
      <c r="M87" s="7">
        <f>H87*$T$5+I87*$T$6+J87*$T$7+K87*$T$8+MIN(F87/$T$11,1)*$T$9+MIN(L87/0.3,1)*$T$10</f>
        <v/>
      </c>
      <c r="N87" s="5">
        <f>RANK(M87,$M$5:$M$154)</f>
        <v/>
      </c>
      <c r="O87" s="5">
        <f>SUMPRODUCT(($C$5:$C$154=C87)*($M$5:$M$154&gt;M87))+1</f>
        <v/>
      </c>
      <c r="P87" s="5">
        <f>ROUNDUP(N87/30,0)</f>
        <v/>
      </c>
      <c r="Q87" s="5">
        <f>IF(OR(M87&lt;0.75,H87&lt;0.8),"Coaching","On Track")</f>
        <v/>
      </c>
      <c r="R87">
        <f>C87&amp;"|"&amp;O87</f>
        <v/>
      </c>
    </row>
    <row r="88">
      <c r="A88" s="10" t="inlineStr">
        <is>
          <t>A5084</t>
        </is>
      </c>
      <c r="B88" s="11" t="inlineStr">
        <is>
          <t>Themba Cele</t>
        </is>
      </c>
      <c r="C88" s="11" t="inlineStr">
        <is>
          <t>MTN Retentions</t>
        </is>
      </c>
      <c r="D88" s="11" t="inlineStr">
        <is>
          <t>Zanele Govender</t>
        </is>
      </c>
      <c r="E88" s="10" t="n">
        <v>7</v>
      </c>
      <c r="F88" s="10" t="n">
        <v>1627</v>
      </c>
      <c r="G88" s="10" t="n">
        <v>291</v>
      </c>
      <c r="H88" s="12" t="n">
        <v>0.92</v>
      </c>
      <c r="I88" s="12" t="n">
        <v>0.9</v>
      </c>
      <c r="J88" s="12" t="n">
        <v>0.97</v>
      </c>
      <c r="K88" s="12" t="n">
        <v>0.96</v>
      </c>
      <c r="L88" s="12" t="n">
        <v>0.1</v>
      </c>
      <c r="M88" s="12">
        <f>H88*$T$5+I88*$T$6+J88*$T$7+K88*$T$8+MIN(F88/$T$11,1)*$T$9+MIN(L88/0.3,1)*$T$10</f>
        <v/>
      </c>
      <c r="N88" s="10">
        <f>RANK(M88,$M$5:$M$154)</f>
        <v/>
      </c>
      <c r="O88" s="10">
        <f>SUMPRODUCT(($C$5:$C$154=C88)*($M$5:$M$154&gt;M88))+1</f>
        <v/>
      </c>
      <c r="P88" s="10">
        <f>ROUNDUP(N88/30,0)</f>
        <v/>
      </c>
      <c r="Q88" s="10">
        <f>IF(OR(M88&lt;0.75,H88&lt;0.8),"Coaching","On Track")</f>
        <v/>
      </c>
      <c r="R88">
        <f>C88&amp;"|"&amp;O88</f>
        <v/>
      </c>
    </row>
    <row r="89">
      <c r="A89" s="5" t="inlineStr">
        <is>
          <t>A5085</t>
        </is>
      </c>
      <c r="B89" s="6" t="inlineStr">
        <is>
          <t>Ntombizodwa Molefe</t>
        </is>
      </c>
      <c r="C89" s="6" t="inlineStr">
        <is>
          <t>OUTsurance Sales</t>
        </is>
      </c>
      <c r="D89" s="6" t="inlineStr">
        <is>
          <t>Refilwe Govender</t>
        </is>
      </c>
      <c r="E89" s="5" t="n">
        <v>30</v>
      </c>
      <c r="F89" s="5" t="n">
        <v>1267</v>
      </c>
      <c r="G89" s="5" t="n">
        <v>307</v>
      </c>
      <c r="H89" s="7" t="n">
        <v>0.93</v>
      </c>
      <c r="I89" s="7" t="n">
        <v>0.76</v>
      </c>
      <c r="J89" s="7" t="n">
        <v>0.9399999999999999</v>
      </c>
      <c r="K89" s="7" t="n">
        <v>0.87</v>
      </c>
      <c r="L89" s="7" t="n">
        <v>0.18</v>
      </c>
      <c r="M89" s="7">
        <f>H89*$T$5+I89*$T$6+J89*$T$7+K89*$T$8+MIN(F89/$T$11,1)*$T$9+MIN(L89/0.3,1)*$T$10</f>
        <v/>
      </c>
      <c r="N89" s="5">
        <f>RANK(M89,$M$5:$M$154)</f>
        <v/>
      </c>
      <c r="O89" s="5">
        <f>SUMPRODUCT(($C$5:$C$154=C89)*($M$5:$M$154&gt;M89))+1</f>
        <v/>
      </c>
      <c r="P89" s="5">
        <f>ROUNDUP(N89/30,0)</f>
        <v/>
      </c>
      <c r="Q89" s="5">
        <f>IF(OR(M89&lt;0.75,H89&lt;0.8),"Coaching","On Track")</f>
        <v/>
      </c>
      <c r="R89">
        <f>C89&amp;"|"&amp;O89</f>
        <v/>
      </c>
    </row>
    <row r="90">
      <c r="A90" s="10" t="inlineStr">
        <is>
          <t>A5086</t>
        </is>
      </c>
      <c r="B90" s="11" t="inlineStr">
        <is>
          <t>Kagiso Fourie</t>
        </is>
      </c>
      <c r="C90" s="11" t="inlineStr">
        <is>
          <t>MTN Retentions</t>
        </is>
      </c>
      <c r="D90" s="11" t="inlineStr">
        <is>
          <t>Lerato Nel</t>
        </is>
      </c>
      <c r="E90" s="10" t="n">
        <v>37</v>
      </c>
      <c r="F90" s="10" t="n">
        <v>1203</v>
      </c>
      <c r="G90" s="10" t="n">
        <v>211</v>
      </c>
      <c r="H90" s="12" t="n">
        <v>0.95</v>
      </c>
      <c r="I90" s="12" t="n">
        <v>0.83</v>
      </c>
      <c r="J90" s="12" t="n">
        <v>0.8</v>
      </c>
      <c r="K90" s="12" t="n">
        <v>0.87</v>
      </c>
      <c r="L90" s="12" t="n">
        <v>0.21</v>
      </c>
      <c r="M90" s="12">
        <f>H90*$T$5+I90*$T$6+J90*$T$7+K90*$T$8+MIN(F90/$T$11,1)*$T$9+MIN(L90/0.3,1)*$T$10</f>
        <v/>
      </c>
      <c r="N90" s="10">
        <f>RANK(M90,$M$5:$M$154)</f>
        <v/>
      </c>
      <c r="O90" s="10">
        <f>SUMPRODUCT(($C$5:$C$154=C90)*($M$5:$M$154&gt;M90))+1</f>
        <v/>
      </c>
      <c r="P90" s="10">
        <f>ROUNDUP(N90/30,0)</f>
        <v/>
      </c>
      <c r="Q90" s="10">
        <f>IF(OR(M90&lt;0.75,H90&lt;0.8),"Coaching","On Track")</f>
        <v/>
      </c>
      <c r="R90">
        <f>C90&amp;"|"&amp;O90</f>
        <v/>
      </c>
    </row>
    <row r="91">
      <c r="A91" s="5" t="inlineStr">
        <is>
          <t>A5087</t>
        </is>
      </c>
      <c r="B91" s="6" t="inlineStr">
        <is>
          <t>Lesego Mabaso</t>
        </is>
      </c>
      <c r="C91" s="6" t="inlineStr">
        <is>
          <t>Takealot Care</t>
        </is>
      </c>
      <c r="D91" s="6" t="inlineStr">
        <is>
          <t>Vusi Molefe</t>
        </is>
      </c>
      <c r="E91" s="5" t="n">
        <v>4</v>
      </c>
      <c r="F91" s="5" t="n">
        <v>1221</v>
      </c>
      <c r="G91" s="5" t="n">
        <v>268</v>
      </c>
      <c r="H91" s="7" t="n">
        <v>0.74</v>
      </c>
      <c r="I91" s="7" t="n">
        <v>0.98</v>
      </c>
      <c r="J91" s="7" t="n">
        <v>0.82</v>
      </c>
      <c r="K91" s="7" t="n">
        <v>0.91</v>
      </c>
      <c r="L91" s="7" t="n">
        <v>0.08</v>
      </c>
      <c r="M91" s="7">
        <f>H91*$T$5+I91*$T$6+J91*$T$7+K91*$T$8+MIN(F91/$T$11,1)*$T$9+MIN(L91/0.3,1)*$T$10</f>
        <v/>
      </c>
      <c r="N91" s="5">
        <f>RANK(M91,$M$5:$M$154)</f>
        <v/>
      </c>
      <c r="O91" s="5">
        <f>SUMPRODUCT(($C$5:$C$154=C91)*($M$5:$M$154&gt;M91))+1</f>
        <v/>
      </c>
      <c r="P91" s="5">
        <f>ROUNDUP(N91/30,0)</f>
        <v/>
      </c>
      <c r="Q91" s="5">
        <f>IF(OR(M91&lt;0.75,H91&lt;0.8),"Coaching","On Track")</f>
        <v/>
      </c>
      <c r="R91">
        <f>C91&amp;"|"&amp;O91</f>
        <v/>
      </c>
    </row>
    <row r="92">
      <c r="A92" s="10" t="inlineStr">
        <is>
          <t>A5088</t>
        </is>
      </c>
      <c r="B92" s="11" t="inlineStr">
        <is>
          <t>Dineo Fourie</t>
        </is>
      </c>
      <c r="C92" s="11" t="inlineStr">
        <is>
          <t>Discovery Lead Gen</t>
        </is>
      </c>
      <c r="D92" s="11" t="inlineStr">
        <is>
          <t>Zanele Meyer</t>
        </is>
      </c>
      <c r="E92" s="10" t="n">
        <v>33</v>
      </c>
      <c r="F92" s="10" t="n">
        <v>1129</v>
      </c>
      <c r="G92" s="10" t="n">
        <v>326</v>
      </c>
      <c r="H92" s="12" t="n">
        <v>0.9</v>
      </c>
      <c r="I92" s="12" t="n">
        <v>0.78</v>
      </c>
      <c r="J92" s="12" t="n">
        <v>0.96</v>
      </c>
      <c r="K92" s="12" t="n">
        <v>0.93</v>
      </c>
      <c r="L92" s="12" t="n">
        <v>0.09</v>
      </c>
      <c r="M92" s="12">
        <f>H92*$T$5+I92*$T$6+J92*$T$7+K92*$T$8+MIN(F92/$T$11,1)*$T$9+MIN(L92/0.3,1)*$T$10</f>
        <v/>
      </c>
      <c r="N92" s="10">
        <f>RANK(M92,$M$5:$M$154)</f>
        <v/>
      </c>
      <c r="O92" s="10">
        <f>SUMPRODUCT(($C$5:$C$154=C92)*($M$5:$M$154&gt;M92))+1</f>
        <v/>
      </c>
      <c r="P92" s="10">
        <f>ROUNDUP(N92/30,0)</f>
        <v/>
      </c>
      <c r="Q92" s="10">
        <f>IF(OR(M92&lt;0.75,H92&lt;0.8),"Coaching","On Track")</f>
        <v/>
      </c>
      <c r="R92">
        <f>C92&amp;"|"&amp;O92</f>
        <v/>
      </c>
    </row>
    <row r="93">
      <c r="A93" s="5" t="inlineStr">
        <is>
          <t>A5089</t>
        </is>
      </c>
      <c r="B93" s="6" t="inlineStr">
        <is>
          <t>Themba Buthelezi</t>
        </is>
      </c>
      <c r="C93" s="6" t="inlineStr">
        <is>
          <t>Takealot Care</t>
        </is>
      </c>
      <c r="D93" s="6" t="inlineStr">
        <is>
          <t>Refilwe Govender</t>
        </is>
      </c>
      <c r="E93" s="5" t="n">
        <v>5</v>
      </c>
      <c r="F93" s="5" t="n">
        <v>1884</v>
      </c>
      <c r="G93" s="5" t="n">
        <v>296</v>
      </c>
      <c r="H93" s="7" t="n">
        <v>0.88</v>
      </c>
      <c r="I93" s="7" t="n">
        <v>0.75</v>
      </c>
      <c r="J93" s="7" t="n">
        <v>0.95</v>
      </c>
      <c r="K93" s="7" t="n">
        <v>0.85</v>
      </c>
      <c r="L93" s="7" t="n">
        <v>0.25</v>
      </c>
      <c r="M93" s="7">
        <f>H93*$T$5+I93*$T$6+J93*$T$7+K93*$T$8+MIN(F93/$T$11,1)*$T$9+MIN(L93/0.3,1)*$T$10</f>
        <v/>
      </c>
      <c r="N93" s="5">
        <f>RANK(M93,$M$5:$M$154)</f>
        <v/>
      </c>
      <c r="O93" s="5">
        <f>SUMPRODUCT(($C$5:$C$154=C93)*($M$5:$M$154&gt;M93))+1</f>
        <v/>
      </c>
      <c r="P93" s="5">
        <f>ROUNDUP(N93/30,0)</f>
        <v/>
      </c>
      <c r="Q93" s="5">
        <f>IF(OR(M93&lt;0.75,H93&lt;0.8),"Coaching","On Track")</f>
        <v/>
      </c>
      <c r="R93">
        <f>C93&amp;"|"&amp;O93</f>
        <v/>
      </c>
    </row>
    <row r="94">
      <c r="A94" s="10" t="inlineStr">
        <is>
          <t>A5090</t>
        </is>
      </c>
      <c r="B94" s="11" t="inlineStr">
        <is>
          <t>Nonhlanhla Maseko</t>
        </is>
      </c>
      <c r="C94" s="11" t="inlineStr">
        <is>
          <t>Nedbank Debt Review</t>
        </is>
      </c>
      <c r="D94" s="11" t="inlineStr">
        <is>
          <t>Gift Dlamini</t>
        </is>
      </c>
      <c r="E94" s="10" t="n">
        <v>33</v>
      </c>
      <c r="F94" s="10" t="n">
        <v>1012</v>
      </c>
      <c r="G94" s="10" t="n">
        <v>309</v>
      </c>
      <c r="H94" s="12" t="n">
        <v>0.77</v>
      </c>
      <c r="I94" s="12" t="n">
        <v>0.79</v>
      </c>
      <c r="J94" s="12" t="n">
        <v>0.99</v>
      </c>
      <c r="K94" s="12" t="n">
        <v>0.93</v>
      </c>
      <c r="L94" s="12" t="n">
        <v>0.09</v>
      </c>
      <c r="M94" s="12">
        <f>H94*$T$5+I94*$T$6+J94*$T$7+K94*$T$8+MIN(F94/$T$11,1)*$T$9+MIN(L94/0.3,1)*$T$10</f>
        <v/>
      </c>
      <c r="N94" s="10">
        <f>RANK(M94,$M$5:$M$154)</f>
        <v/>
      </c>
      <c r="O94" s="10">
        <f>SUMPRODUCT(($C$5:$C$154=C94)*($M$5:$M$154&gt;M94))+1</f>
        <v/>
      </c>
      <c r="P94" s="10">
        <f>ROUNDUP(N94/30,0)</f>
        <v/>
      </c>
      <c r="Q94" s="10">
        <f>IF(OR(M94&lt;0.75,H94&lt;0.8),"Coaching","On Track")</f>
        <v/>
      </c>
      <c r="R94">
        <f>C94&amp;"|"&amp;O94</f>
        <v/>
      </c>
    </row>
    <row r="95">
      <c r="A95" s="5" t="inlineStr">
        <is>
          <t>A5091</t>
        </is>
      </c>
      <c r="B95" s="6" t="inlineStr">
        <is>
          <t>Nonhlanhla Tshabalala</t>
        </is>
      </c>
      <c r="C95" s="6" t="inlineStr">
        <is>
          <t>Takealot Care</t>
        </is>
      </c>
      <c r="D95" s="6" t="inlineStr">
        <is>
          <t>Mandla Mokoena</t>
        </is>
      </c>
      <c r="E95" s="5" t="n">
        <v>23</v>
      </c>
      <c r="F95" s="5" t="n">
        <v>1268</v>
      </c>
      <c r="G95" s="5" t="n">
        <v>351</v>
      </c>
      <c r="H95" s="7" t="n">
        <v>0.8</v>
      </c>
      <c r="I95" s="7" t="n">
        <v>0.7</v>
      </c>
      <c r="J95" s="7" t="n">
        <v>0.82</v>
      </c>
      <c r="K95" s="7" t="n">
        <v>0.98</v>
      </c>
      <c r="L95" s="7" t="n">
        <v>0.3</v>
      </c>
      <c r="M95" s="7">
        <f>H95*$T$5+I95*$T$6+J95*$T$7+K95*$T$8+MIN(F95/$T$11,1)*$T$9+MIN(L95/0.3,1)*$T$10</f>
        <v/>
      </c>
      <c r="N95" s="5">
        <f>RANK(M95,$M$5:$M$154)</f>
        <v/>
      </c>
      <c r="O95" s="5">
        <f>SUMPRODUCT(($C$5:$C$154=C95)*($M$5:$M$154&gt;M95))+1</f>
        <v/>
      </c>
      <c r="P95" s="5">
        <f>ROUNDUP(N95/30,0)</f>
        <v/>
      </c>
      <c r="Q95" s="5">
        <f>IF(OR(M95&lt;0.75,H95&lt;0.8),"Coaching","On Track")</f>
        <v/>
      </c>
      <c r="R95">
        <f>C95&amp;"|"&amp;O95</f>
        <v/>
      </c>
    </row>
    <row r="96">
      <c r="A96" s="10" t="inlineStr">
        <is>
          <t>A5092</t>
        </is>
      </c>
      <c r="B96" s="11" t="inlineStr">
        <is>
          <t>Naledi Nkosi</t>
        </is>
      </c>
      <c r="C96" s="11" t="inlineStr">
        <is>
          <t>Nedbank Debt Review</t>
        </is>
      </c>
      <c r="D96" s="11" t="inlineStr">
        <is>
          <t>Anele Govender</t>
        </is>
      </c>
      <c r="E96" s="10" t="n">
        <v>34</v>
      </c>
      <c r="F96" s="10" t="n">
        <v>1923</v>
      </c>
      <c r="G96" s="10" t="n">
        <v>279</v>
      </c>
      <c r="H96" s="12" t="n">
        <v>0.98</v>
      </c>
      <c r="I96" s="12" t="n">
        <v>0.71</v>
      </c>
      <c r="J96" s="12" t="n">
        <v>0.89</v>
      </c>
      <c r="K96" s="12" t="n">
        <v>0.93</v>
      </c>
      <c r="L96" s="12" t="n">
        <v>0.04</v>
      </c>
      <c r="M96" s="12">
        <f>H96*$T$5+I96*$T$6+J96*$T$7+K96*$T$8+MIN(F96/$T$11,1)*$T$9+MIN(L96/0.3,1)*$T$10</f>
        <v/>
      </c>
      <c r="N96" s="10">
        <f>RANK(M96,$M$5:$M$154)</f>
        <v/>
      </c>
      <c r="O96" s="10">
        <f>SUMPRODUCT(($C$5:$C$154=C96)*($M$5:$M$154&gt;M96))+1</f>
        <v/>
      </c>
      <c r="P96" s="10">
        <f>ROUNDUP(N96/30,0)</f>
        <v/>
      </c>
      <c r="Q96" s="10">
        <f>IF(OR(M96&lt;0.75,H96&lt;0.8),"Coaching","On Track")</f>
        <v/>
      </c>
      <c r="R96">
        <f>C96&amp;"|"&amp;O96</f>
        <v/>
      </c>
    </row>
    <row r="97">
      <c r="A97" s="5" t="inlineStr">
        <is>
          <t>A5093</t>
        </is>
      </c>
      <c r="B97" s="6" t="inlineStr">
        <is>
          <t>Tebogo Nkosi</t>
        </is>
      </c>
      <c r="C97" s="6" t="inlineStr">
        <is>
          <t>Standard Bank Helpdesk</t>
        </is>
      </c>
      <c r="D97" s="6" t="inlineStr">
        <is>
          <t>Lerato Nel</t>
        </is>
      </c>
      <c r="E97" s="5" t="n">
        <v>35</v>
      </c>
      <c r="F97" s="5" t="n">
        <v>2057</v>
      </c>
      <c r="G97" s="5" t="n">
        <v>322</v>
      </c>
      <c r="H97" s="7" t="n">
        <v>0.91</v>
      </c>
      <c r="I97" s="7" t="n">
        <v>0.72</v>
      </c>
      <c r="J97" s="7" t="n">
        <v>0.87</v>
      </c>
      <c r="K97" s="7" t="n">
        <v>0.9399999999999999</v>
      </c>
      <c r="L97" s="7" t="n">
        <v>0.15</v>
      </c>
      <c r="M97" s="7">
        <f>H97*$T$5+I97*$T$6+J97*$T$7+K97*$T$8+MIN(F97/$T$11,1)*$T$9+MIN(L97/0.3,1)*$T$10</f>
        <v/>
      </c>
      <c r="N97" s="5">
        <f>RANK(M97,$M$5:$M$154)</f>
        <v/>
      </c>
      <c r="O97" s="5">
        <f>SUMPRODUCT(($C$5:$C$154=C97)*($M$5:$M$154&gt;M97))+1</f>
        <v/>
      </c>
      <c r="P97" s="5">
        <f>ROUNDUP(N97/30,0)</f>
        <v/>
      </c>
      <c r="Q97" s="5">
        <f>IF(OR(M97&lt;0.75,H97&lt;0.8),"Coaching","On Track")</f>
        <v/>
      </c>
      <c r="R97">
        <f>C97&amp;"|"&amp;O97</f>
        <v/>
      </c>
    </row>
    <row r="98">
      <c r="A98" s="10" t="inlineStr">
        <is>
          <t>A5094</t>
        </is>
      </c>
      <c r="B98" s="11" t="inlineStr">
        <is>
          <t>Nokuthula Adams</t>
        </is>
      </c>
      <c r="C98" s="11" t="inlineStr">
        <is>
          <t>Takealot Care</t>
        </is>
      </c>
      <c r="D98" s="11" t="inlineStr">
        <is>
          <t>Gift Dlamini</t>
        </is>
      </c>
      <c r="E98" s="10" t="n">
        <v>36</v>
      </c>
      <c r="F98" s="10" t="n">
        <v>910</v>
      </c>
      <c r="G98" s="10" t="n">
        <v>264</v>
      </c>
      <c r="H98" s="12" t="n">
        <v>0.83</v>
      </c>
      <c r="I98" s="12" t="n">
        <v>0.77</v>
      </c>
      <c r="J98" s="12" t="n">
        <v>0.97</v>
      </c>
      <c r="K98" s="12" t="n">
        <v>0.93</v>
      </c>
      <c r="L98" s="12" t="n">
        <v>0.18</v>
      </c>
      <c r="M98" s="12">
        <f>H98*$T$5+I98*$T$6+J98*$T$7+K98*$T$8+MIN(F98/$T$11,1)*$T$9+MIN(L98/0.3,1)*$T$10</f>
        <v/>
      </c>
      <c r="N98" s="10">
        <f>RANK(M98,$M$5:$M$154)</f>
        <v/>
      </c>
      <c r="O98" s="10">
        <f>SUMPRODUCT(($C$5:$C$154=C98)*($M$5:$M$154&gt;M98))+1</f>
        <v/>
      </c>
      <c r="P98" s="10">
        <f>ROUNDUP(N98/30,0)</f>
        <v/>
      </c>
      <c r="Q98" s="10">
        <f>IF(OR(M98&lt;0.75,H98&lt;0.8),"Coaching","On Track")</f>
        <v/>
      </c>
      <c r="R98">
        <f>C98&amp;"|"&amp;O98</f>
        <v/>
      </c>
    </row>
    <row r="99">
      <c r="A99" s="5" t="inlineStr">
        <is>
          <t>A5095</t>
        </is>
      </c>
      <c r="B99" s="6" t="inlineStr">
        <is>
          <t>Bongani Khumalo</t>
        </is>
      </c>
      <c r="C99" s="6" t="inlineStr">
        <is>
          <t>ABSA Collections</t>
        </is>
      </c>
      <c r="D99" s="6" t="inlineStr">
        <is>
          <t>Vusi Molefe</t>
        </is>
      </c>
      <c r="E99" s="5" t="n">
        <v>15</v>
      </c>
      <c r="F99" s="5" t="n">
        <v>1415</v>
      </c>
      <c r="G99" s="5" t="n">
        <v>343</v>
      </c>
      <c r="H99" s="7" t="n">
        <v>0.74</v>
      </c>
      <c r="I99" s="7" t="n">
        <v>0.92</v>
      </c>
      <c r="J99" s="7" t="n">
        <v>0.83</v>
      </c>
      <c r="K99" s="7" t="n">
        <v>0.88</v>
      </c>
      <c r="L99" s="7" t="n">
        <v>0.12</v>
      </c>
      <c r="M99" s="7">
        <f>H99*$T$5+I99*$T$6+J99*$T$7+K99*$T$8+MIN(F99/$T$11,1)*$T$9+MIN(L99/0.3,1)*$T$10</f>
        <v/>
      </c>
      <c r="N99" s="5">
        <f>RANK(M99,$M$5:$M$154)</f>
        <v/>
      </c>
      <c r="O99" s="5">
        <f>SUMPRODUCT(($C$5:$C$154=C99)*($M$5:$M$154&gt;M99))+1</f>
        <v/>
      </c>
      <c r="P99" s="5">
        <f>ROUNDUP(N99/30,0)</f>
        <v/>
      </c>
      <c r="Q99" s="5">
        <f>IF(OR(M99&lt;0.75,H99&lt;0.8),"Coaching","On Track")</f>
        <v/>
      </c>
      <c r="R99">
        <f>C99&amp;"|"&amp;O99</f>
        <v/>
      </c>
    </row>
    <row r="100">
      <c r="A100" s="10" t="inlineStr">
        <is>
          <t>A5096</t>
        </is>
      </c>
      <c r="B100" s="11" t="inlineStr">
        <is>
          <t>Mpho Zulu</t>
        </is>
      </c>
      <c r="C100" s="11" t="inlineStr">
        <is>
          <t>DStv Upsell</t>
        </is>
      </c>
      <c r="D100" s="11" t="inlineStr">
        <is>
          <t>Precious Khumalo</t>
        </is>
      </c>
      <c r="E100" s="10" t="n">
        <v>1</v>
      </c>
      <c r="F100" s="10" t="n">
        <v>2066</v>
      </c>
      <c r="G100" s="10" t="n">
        <v>313</v>
      </c>
      <c r="H100" s="12" t="n">
        <v>0.86</v>
      </c>
      <c r="I100" s="12" t="n">
        <v>0.78</v>
      </c>
      <c r="J100" s="12" t="n">
        <v>0.85</v>
      </c>
      <c r="K100" s="12" t="n">
        <v>0.93</v>
      </c>
      <c r="L100" s="12" t="n">
        <v>0.15</v>
      </c>
      <c r="M100" s="12">
        <f>H100*$T$5+I100*$T$6+J100*$T$7+K100*$T$8+MIN(F100/$T$11,1)*$T$9+MIN(L100/0.3,1)*$T$10</f>
        <v/>
      </c>
      <c r="N100" s="10">
        <f>RANK(M100,$M$5:$M$154)</f>
        <v/>
      </c>
      <c r="O100" s="10">
        <f>SUMPRODUCT(($C$5:$C$154=C100)*($M$5:$M$154&gt;M100))+1</f>
        <v/>
      </c>
      <c r="P100" s="10">
        <f>ROUNDUP(N100/30,0)</f>
        <v/>
      </c>
      <c r="Q100" s="10">
        <f>IF(OR(M100&lt;0.75,H100&lt;0.8),"Coaching","On Track")</f>
        <v/>
      </c>
      <c r="R100">
        <f>C100&amp;"|"&amp;O100</f>
        <v/>
      </c>
    </row>
    <row r="101">
      <c r="A101" s="5" t="inlineStr">
        <is>
          <t>A5097</t>
        </is>
      </c>
      <c r="B101" s="6" t="inlineStr">
        <is>
          <t>Naledi Fourie</t>
        </is>
      </c>
      <c r="C101" s="6" t="inlineStr">
        <is>
          <t>ABSA Collections</t>
        </is>
      </c>
      <c r="D101" s="6" t="inlineStr">
        <is>
          <t>Refilwe Govender</t>
        </is>
      </c>
      <c r="E101" s="5" t="n">
        <v>27</v>
      </c>
      <c r="F101" s="5" t="n">
        <v>1094</v>
      </c>
      <c r="G101" s="5" t="n">
        <v>217</v>
      </c>
      <c r="H101" s="7" t="n">
        <v>0.9</v>
      </c>
      <c r="I101" s="7" t="n">
        <v>0.8</v>
      </c>
      <c r="J101" s="7" t="n">
        <v>0.99</v>
      </c>
      <c r="K101" s="7" t="n">
        <v>0.86</v>
      </c>
      <c r="L101" s="7" t="n">
        <v>0.16</v>
      </c>
      <c r="M101" s="7">
        <f>H101*$T$5+I101*$T$6+J101*$T$7+K101*$T$8+MIN(F101/$T$11,1)*$T$9+MIN(L101/0.3,1)*$T$10</f>
        <v/>
      </c>
      <c r="N101" s="5">
        <f>RANK(M101,$M$5:$M$154)</f>
        <v/>
      </c>
      <c r="O101" s="5">
        <f>SUMPRODUCT(($C$5:$C$154=C101)*($M$5:$M$154&gt;M101))+1</f>
        <v/>
      </c>
      <c r="P101" s="5">
        <f>ROUNDUP(N101/30,0)</f>
        <v/>
      </c>
      <c r="Q101" s="5">
        <f>IF(OR(M101&lt;0.75,H101&lt;0.8),"Coaching","On Track")</f>
        <v/>
      </c>
      <c r="R101">
        <f>C101&amp;"|"&amp;O101</f>
        <v/>
      </c>
    </row>
    <row r="102">
      <c r="A102" s="10" t="inlineStr">
        <is>
          <t>A5098</t>
        </is>
      </c>
      <c r="B102" s="11" t="inlineStr">
        <is>
          <t>Nkanyiso Mokoena</t>
        </is>
      </c>
      <c r="C102" s="11" t="inlineStr">
        <is>
          <t>Cell C Winback</t>
        </is>
      </c>
      <c r="D102" s="11" t="inlineStr">
        <is>
          <t>Refilwe Govender</t>
        </is>
      </c>
      <c r="E102" s="10" t="n">
        <v>10</v>
      </c>
      <c r="F102" s="10" t="n">
        <v>1977</v>
      </c>
      <c r="G102" s="10" t="n">
        <v>280</v>
      </c>
      <c r="H102" s="12" t="n">
        <v>0.78</v>
      </c>
      <c r="I102" s="12" t="n">
        <v>0.8</v>
      </c>
      <c r="J102" s="12" t="n">
        <v>0.97</v>
      </c>
      <c r="K102" s="12" t="n">
        <v>0.89</v>
      </c>
      <c r="L102" s="12" t="n">
        <v>0.2</v>
      </c>
      <c r="M102" s="12">
        <f>H102*$T$5+I102*$T$6+J102*$T$7+K102*$T$8+MIN(F102/$T$11,1)*$T$9+MIN(L102/0.3,1)*$T$10</f>
        <v/>
      </c>
      <c r="N102" s="10">
        <f>RANK(M102,$M$5:$M$154)</f>
        <v/>
      </c>
      <c r="O102" s="10">
        <f>SUMPRODUCT(($C$5:$C$154=C102)*($M$5:$M$154&gt;M102))+1</f>
        <v/>
      </c>
      <c r="P102" s="10">
        <f>ROUNDUP(N102/30,0)</f>
        <v/>
      </c>
      <c r="Q102" s="10">
        <f>IF(OR(M102&lt;0.75,H102&lt;0.8),"Coaching","On Track")</f>
        <v/>
      </c>
      <c r="R102">
        <f>C102&amp;"|"&amp;O102</f>
        <v/>
      </c>
    </row>
    <row r="103">
      <c r="A103" s="5" t="inlineStr">
        <is>
          <t>A5099</t>
        </is>
      </c>
      <c r="B103" s="6" t="inlineStr">
        <is>
          <t>Ayanda Meyer</t>
        </is>
      </c>
      <c r="C103" s="6" t="inlineStr">
        <is>
          <t>Takealot Care</t>
        </is>
      </c>
      <c r="D103" s="6" t="inlineStr">
        <is>
          <t>Thabo Buthelezi</t>
        </is>
      </c>
      <c r="E103" s="5" t="n">
        <v>13</v>
      </c>
      <c r="F103" s="5" t="n">
        <v>1925</v>
      </c>
      <c r="G103" s="5" t="n">
        <v>255</v>
      </c>
      <c r="H103" s="7" t="n">
        <v>0.77</v>
      </c>
      <c r="I103" s="7" t="n">
        <v>0.87</v>
      </c>
      <c r="J103" s="7" t="n">
        <v>0.93</v>
      </c>
      <c r="K103" s="7" t="n">
        <v>0.98</v>
      </c>
      <c r="L103" s="7" t="n">
        <v>0.07000000000000001</v>
      </c>
      <c r="M103" s="7">
        <f>H103*$T$5+I103*$T$6+J103*$T$7+K103*$T$8+MIN(F103/$T$11,1)*$T$9+MIN(L103/0.3,1)*$T$10</f>
        <v/>
      </c>
      <c r="N103" s="5">
        <f>RANK(M103,$M$5:$M$154)</f>
        <v/>
      </c>
      <c r="O103" s="5">
        <f>SUMPRODUCT(($C$5:$C$154=C103)*($M$5:$M$154&gt;M103))+1</f>
        <v/>
      </c>
      <c r="P103" s="5">
        <f>ROUNDUP(N103/30,0)</f>
        <v/>
      </c>
      <c r="Q103" s="5">
        <f>IF(OR(M103&lt;0.75,H103&lt;0.8),"Coaching","On Track")</f>
        <v/>
      </c>
      <c r="R103">
        <f>C103&amp;"|"&amp;O103</f>
        <v/>
      </c>
    </row>
    <row r="104">
      <c r="A104" s="10" t="inlineStr">
        <is>
          <t>A5100</t>
        </is>
      </c>
      <c r="B104" s="11" t="inlineStr">
        <is>
          <t>Lesego Mthembu</t>
        </is>
      </c>
      <c r="C104" s="11" t="inlineStr">
        <is>
          <t>Takealot Care</t>
        </is>
      </c>
      <c r="D104" s="11" t="inlineStr">
        <is>
          <t>Thabo Buthelezi</t>
        </is>
      </c>
      <c r="E104" s="10" t="n">
        <v>1</v>
      </c>
      <c r="F104" s="10" t="n">
        <v>1982</v>
      </c>
      <c r="G104" s="10" t="n">
        <v>340</v>
      </c>
      <c r="H104" s="12" t="n">
        <v>0.92</v>
      </c>
      <c r="I104" s="12" t="n">
        <v>0.8100000000000001</v>
      </c>
      <c r="J104" s="12" t="n">
        <v>0.85</v>
      </c>
      <c r="K104" s="12" t="n">
        <v>0.84</v>
      </c>
      <c r="L104" s="12" t="n">
        <v>0.11</v>
      </c>
      <c r="M104" s="12">
        <f>H104*$T$5+I104*$T$6+J104*$T$7+K104*$T$8+MIN(F104/$T$11,1)*$T$9+MIN(L104/0.3,1)*$T$10</f>
        <v/>
      </c>
      <c r="N104" s="10">
        <f>RANK(M104,$M$5:$M$154)</f>
        <v/>
      </c>
      <c r="O104" s="10">
        <f>SUMPRODUCT(($C$5:$C$154=C104)*($M$5:$M$154&gt;M104))+1</f>
        <v/>
      </c>
      <c r="P104" s="10">
        <f>ROUNDUP(N104/30,0)</f>
        <v/>
      </c>
      <c r="Q104" s="10">
        <f>IF(OR(M104&lt;0.75,H104&lt;0.8),"Coaching","On Track")</f>
        <v/>
      </c>
      <c r="R104">
        <f>C104&amp;"|"&amp;O104</f>
        <v/>
      </c>
    </row>
    <row r="105">
      <c r="A105" s="5" t="inlineStr">
        <is>
          <t>A5101</t>
        </is>
      </c>
      <c r="B105" s="6" t="inlineStr">
        <is>
          <t>Nokuthula Zulu</t>
        </is>
      </c>
      <c r="C105" s="6" t="inlineStr">
        <is>
          <t>ABSA Collections</t>
        </is>
      </c>
      <c r="D105" s="6" t="inlineStr">
        <is>
          <t>Anele Govender</t>
        </is>
      </c>
      <c r="E105" s="5" t="n">
        <v>20</v>
      </c>
      <c r="F105" s="5" t="n">
        <v>1792</v>
      </c>
      <c r="G105" s="5" t="n">
        <v>353</v>
      </c>
      <c r="H105" s="7" t="n">
        <v>0.8100000000000001</v>
      </c>
      <c r="I105" s="7" t="n">
        <v>0.87</v>
      </c>
      <c r="J105" s="7" t="n">
        <v>0.9</v>
      </c>
      <c r="K105" s="7" t="n">
        <v>0.85</v>
      </c>
      <c r="L105" s="7" t="n">
        <v>0.09</v>
      </c>
      <c r="M105" s="7">
        <f>H105*$T$5+I105*$T$6+J105*$T$7+K105*$T$8+MIN(F105/$T$11,1)*$T$9+MIN(L105/0.3,1)*$T$10</f>
        <v/>
      </c>
      <c r="N105" s="5">
        <f>RANK(M105,$M$5:$M$154)</f>
        <v/>
      </c>
      <c r="O105" s="5">
        <f>SUMPRODUCT(($C$5:$C$154=C105)*($M$5:$M$154&gt;M105))+1</f>
        <v/>
      </c>
      <c r="P105" s="5">
        <f>ROUNDUP(N105/30,0)</f>
        <v/>
      </c>
      <c r="Q105" s="5">
        <f>IF(OR(M105&lt;0.75,H105&lt;0.8),"Coaching","On Track")</f>
        <v/>
      </c>
      <c r="R105">
        <f>C105&amp;"|"&amp;O105</f>
        <v/>
      </c>
    </row>
    <row r="106">
      <c r="A106" s="10" t="inlineStr">
        <is>
          <t>A5102</t>
        </is>
      </c>
      <c r="B106" s="11" t="inlineStr">
        <is>
          <t>Vusi Govender</t>
        </is>
      </c>
      <c r="C106" s="11" t="inlineStr">
        <is>
          <t>Discovery Lead Gen</t>
        </is>
      </c>
      <c r="D106" s="11" t="inlineStr">
        <is>
          <t>Mandla Mokoena</t>
        </is>
      </c>
      <c r="E106" s="10" t="n">
        <v>8</v>
      </c>
      <c r="F106" s="10" t="n">
        <v>2072</v>
      </c>
      <c r="G106" s="10" t="n">
        <v>212</v>
      </c>
      <c r="H106" s="12" t="n">
        <v>0.82</v>
      </c>
      <c r="I106" s="12" t="n">
        <v>0.9399999999999999</v>
      </c>
      <c r="J106" s="12" t="n">
        <v>0.88</v>
      </c>
      <c r="K106" s="12" t="n">
        <v>0.98</v>
      </c>
      <c r="L106" s="12" t="n">
        <v>0.15</v>
      </c>
      <c r="M106" s="12">
        <f>H106*$T$5+I106*$T$6+J106*$T$7+K106*$T$8+MIN(F106/$T$11,1)*$T$9+MIN(L106/0.3,1)*$T$10</f>
        <v/>
      </c>
      <c r="N106" s="10">
        <f>RANK(M106,$M$5:$M$154)</f>
        <v/>
      </c>
      <c r="O106" s="10">
        <f>SUMPRODUCT(($C$5:$C$154=C106)*($M$5:$M$154&gt;M106))+1</f>
        <v/>
      </c>
      <c r="P106" s="10">
        <f>ROUNDUP(N106/30,0)</f>
        <v/>
      </c>
      <c r="Q106" s="10">
        <f>IF(OR(M106&lt;0.75,H106&lt;0.8),"Coaching","On Track")</f>
        <v/>
      </c>
      <c r="R106">
        <f>C106&amp;"|"&amp;O106</f>
        <v/>
      </c>
    </row>
    <row r="107">
      <c r="A107" s="5" t="inlineStr">
        <is>
          <t>A5103</t>
        </is>
      </c>
      <c r="B107" s="6" t="inlineStr">
        <is>
          <t>Boitumelo Govender</t>
        </is>
      </c>
      <c r="C107" s="6" t="inlineStr">
        <is>
          <t>OUTsurance Sales</t>
        </is>
      </c>
      <c r="D107" s="6" t="inlineStr">
        <is>
          <t>Lerato Nel</t>
        </is>
      </c>
      <c r="E107" s="5" t="n">
        <v>2</v>
      </c>
      <c r="F107" s="5" t="n">
        <v>1077</v>
      </c>
      <c r="G107" s="5" t="n">
        <v>295</v>
      </c>
      <c r="H107" s="7" t="n">
        <v>0.9399999999999999</v>
      </c>
      <c r="I107" s="7" t="n">
        <v>0.87</v>
      </c>
      <c r="J107" s="7" t="n">
        <v>0.95</v>
      </c>
      <c r="K107" s="7" t="n">
        <v>0.85</v>
      </c>
      <c r="L107" s="7" t="n">
        <v>0.18</v>
      </c>
      <c r="M107" s="7">
        <f>H107*$T$5+I107*$T$6+J107*$T$7+K107*$T$8+MIN(F107/$T$11,1)*$T$9+MIN(L107/0.3,1)*$T$10</f>
        <v/>
      </c>
      <c r="N107" s="5">
        <f>RANK(M107,$M$5:$M$154)</f>
        <v/>
      </c>
      <c r="O107" s="5">
        <f>SUMPRODUCT(($C$5:$C$154=C107)*($M$5:$M$154&gt;M107))+1</f>
        <v/>
      </c>
      <c r="P107" s="5">
        <f>ROUNDUP(N107/30,0)</f>
        <v/>
      </c>
      <c r="Q107" s="5">
        <f>IF(OR(M107&lt;0.75,H107&lt;0.8),"Coaching","On Track")</f>
        <v/>
      </c>
      <c r="R107">
        <f>C107&amp;"|"&amp;O107</f>
        <v/>
      </c>
    </row>
    <row r="108">
      <c r="A108" s="10" t="inlineStr">
        <is>
          <t>A5104</t>
        </is>
      </c>
      <c r="B108" s="11" t="inlineStr">
        <is>
          <t>Karabo Nkosi</t>
        </is>
      </c>
      <c r="C108" s="11" t="inlineStr">
        <is>
          <t>Discovery Lead Gen</t>
        </is>
      </c>
      <c r="D108" s="11" t="inlineStr">
        <is>
          <t>Mandla Mokoena</t>
        </is>
      </c>
      <c r="E108" s="10" t="n">
        <v>35</v>
      </c>
      <c r="F108" s="10" t="n">
        <v>1714</v>
      </c>
      <c r="G108" s="10" t="n">
        <v>228</v>
      </c>
      <c r="H108" s="12" t="n">
        <v>0.8</v>
      </c>
      <c r="I108" s="12" t="n">
        <v>0.73</v>
      </c>
      <c r="J108" s="12" t="n">
        <v>0.96</v>
      </c>
      <c r="K108" s="12" t="n">
        <v>1</v>
      </c>
      <c r="L108" s="12" t="n">
        <v>0.27</v>
      </c>
      <c r="M108" s="12">
        <f>H108*$T$5+I108*$T$6+J108*$T$7+K108*$T$8+MIN(F108/$T$11,1)*$T$9+MIN(L108/0.3,1)*$T$10</f>
        <v/>
      </c>
      <c r="N108" s="10">
        <f>RANK(M108,$M$5:$M$154)</f>
        <v/>
      </c>
      <c r="O108" s="10">
        <f>SUMPRODUCT(($C$5:$C$154=C108)*($M$5:$M$154&gt;M108))+1</f>
        <v/>
      </c>
      <c r="P108" s="10">
        <f>ROUNDUP(N108/30,0)</f>
        <v/>
      </c>
      <c r="Q108" s="10">
        <f>IF(OR(M108&lt;0.75,H108&lt;0.8),"Coaching","On Track")</f>
        <v/>
      </c>
      <c r="R108">
        <f>C108&amp;"|"&amp;O108</f>
        <v/>
      </c>
    </row>
    <row r="109">
      <c r="A109" s="5" t="inlineStr">
        <is>
          <t>A5105</t>
        </is>
      </c>
      <c r="B109" s="6" t="inlineStr">
        <is>
          <t>Lindiwe Pillay</t>
        </is>
      </c>
      <c r="C109" s="6" t="inlineStr">
        <is>
          <t>Vodacom Upgrades</t>
        </is>
      </c>
      <c r="D109" s="6" t="inlineStr">
        <is>
          <t>Mandla Mokoena</t>
        </is>
      </c>
      <c r="E109" s="5" t="n">
        <v>1</v>
      </c>
      <c r="F109" s="5" t="n">
        <v>2030</v>
      </c>
      <c r="G109" s="5" t="n">
        <v>234</v>
      </c>
      <c r="H109" s="7" t="n">
        <v>0.88</v>
      </c>
      <c r="I109" s="7" t="n">
        <v>0.78</v>
      </c>
      <c r="J109" s="7" t="n">
        <v>0.86</v>
      </c>
      <c r="K109" s="7" t="n">
        <v>0.85</v>
      </c>
      <c r="L109" s="7" t="n">
        <v>0.2</v>
      </c>
      <c r="M109" s="7">
        <f>H109*$T$5+I109*$T$6+J109*$T$7+K109*$T$8+MIN(F109/$T$11,1)*$T$9+MIN(L109/0.3,1)*$T$10</f>
        <v/>
      </c>
      <c r="N109" s="5">
        <f>RANK(M109,$M$5:$M$154)</f>
        <v/>
      </c>
      <c r="O109" s="5">
        <f>SUMPRODUCT(($C$5:$C$154=C109)*($M$5:$M$154&gt;M109))+1</f>
        <v/>
      </c>
      <c r="P109" s="5">
        <f>ROUNDUP(N109/30,0)</f>
        <v/>
      </c>
      <c r="Q109" s="5">
        <f>IF(OR(M109&lt;0.75,H109&lt;0.8),"Coaching","On Track")</f>
        <v/>
      </c>
      <c r="R109">
        <f>C109&amp;"|"&amp;O109</f>
        <v/>
      </c>
    </row>
    <row r="110">
      <c r="A110" s="10" t="inlineStr">
        <is>
          <t>A5106</t>
        </is>
      </c>
      <c r="B110" s="11" t="inlineStr">
        <is>
          <t>Nkanyiso Ndlovu</t>
        </is>
      </c>
      <c r="C110" s="11" t="inlineStr">
        <is>
          <t>Cell C Winback</t>
        </is>
      </c>
      <c r="D110" s="11" t="inlineStr">
        <is>
          <t>Precious Khumalo</t>
        </is>
      </c>
      <c r="E110" s="10" t="n">
        <v>8</v>
      </c>
      <c r="F110" s="10" t="n">
        <v>1787</v>
      </c>
      <c r="G110" s="10" t="n">
        <v>267</v>
      </c>
      <c r="H110" s="12" t="n">
        <v>0.88</v>
      </c>
      <c r="I110" s="12" t="n">
        <v>0.73</v>
      </c>
      <c r="J110" s="12" t="n">
        <v>0.95</v>
      </c>
      <c r="K110" s="12" t="n">
        <v>0.96</v>
      </c>
      <c r="L110" s="12" t="n">
        <v>0.06</v>
      </c>
      <c r="M110" s="12">
        <f>H110*$T$5+I110*$T$6+J110*$T$7+K110*$T$8+MIN(F110/$T$11,1)*$T$9+MIN(L110/0.3,1)*$T$10</f>
        <v/>
      </c>
      <c r="N110" s="10">
        <f>RANK(M110,$M$5:$M$154)</f>
        <v/>
      </c>
      <c r="O110" s="10">
        <f>SUMPRODUCT(($C$5:$C$154=C110)*($M$5:$M$154&gt;M110))+1</f>
        <v/>
      </c>
      <c r="P110" s="10">
        <f>ROUNDUP(N110/30,0)</f>
        <v/>
      </c>
      <c r="Q110" s="10">
        <f>IF(OR(M110&lt;0.75,H110&lt;0.8),"Coaching","On Track")</f>
        <v/>
      </c>
      <c r="R110">
        <f>C110&amp;"|"&amp;O110</f>
        <v/>
      </c>
    </row>
    <row r="111">
      <c r="A111" s="5" t="inlineStr">
        <is>
          <t>A5107</t>
        </is>
      </c>
      <c r="B111" s="6" t="inlineStr">
        <is>
          <t>Musa Botha</t>
        </is>
      </c>
      <c r="C111" s="6" t="inlineStr">
        <is>
          <t>DStv Upsell</t>
        </is>
      </c>
      <c r="D111" s="6" t="inlineStr">
        <is>
          <t>Mandla Mokoena</t>
        </is>
      </c>
      <c r="E111" s="5" t="n">
        <v>21</v>
      </c>
      <c r="F111" s="5" t="n">
        <v>1955</v>
      </c>
      <c r="G111" s="5" t="n">
        <v>211</v>
      </c>
      <c r="H111" s="7" t="n">
        <v>0.92</v>
      </c>
      <c r="I111" s="7" t="n">
        <v>0.72</v>
      </c>
      <c r="J111" s="7" t="n">
        <v>0.89</v>
      </c>
      <c r="K111" s="7" t="n">
        <v>0.88</v>
      </c>
      <c r="L111" s="7" t="n">
        <v>0.06</v>
      </c>
      <c r="M111" s="7">
        <f>H111*$T$5+I111*$T$6+J111*$T$7+K111*$T$8+MIN(F111/$T$11,1)*$T$9+MIN(L111/0.3,1)*$T$10</f>
        <v/>
      </c>
      <c r="N111" s="5">
        <f>RANK(M111,$M$5:$M$154)</f>
        <v/>
      </c>
      <c r="O111" s="5">
        <f>SUMPRODUCT(($C$5:$C$154=C111)*($M$5:$M$154&gt;M111))+1</f>
        <v/>
      </c>
      <c r="P111" s="5">
        <f>ROUNDUP(N111/30,0)</f>
        <v/>
      </c>
      <c r="Q111" s="5">
        <f>IF(OR(M111&lt;0.75,H111&lt;0.8),"Coaching","On Track")</f>
        <v/>
      </c>
      <c r="R111">
        <f>C111&amp;"|"&amp;O111</f>
        <v/>
      </c>
    </row>
    <row r="112">
      <c r="A112" s="10" t="inlineStr">
        <is>
          <t>A5108</t>
        </is>
      </c>
      <c r="B112" s="11" t="inlineStr">
        <is>
          <t>Nonhlanhla Mahlangu</t>
        </is>
      </c>
      <c r="C112" s="11" t="inlineStr">
        <is>
          <t>Takealot Care</t>
        </is>
      </c>
      <c r="D112" s="11" t="inlineStr">
        <is>
          <t>Zodwa Molefe</t>
        </is>
      </c>
      <c r="E112" s="10" t="n">
        <v>41</v>
      </c>
      <c r="F112" s="10" t="n">
        <v>1378</v>
      </c>
      <c r="G112" s="10" t="n">
        <v>248</v>
      </c>
      <c r="H112" s="12" t="n">
        <v>0.98</v>
      </c>
      <c r="I112" s="12" t="n">
        <v>0.84</v>
      </c>
      <c r="J112" s="12" t="n">
        <v>0.84</v>
      </c>
      <c r="K112" s="12" t="n">
        <v>0.95</v>
      </c>
      <c r="L112" s="12" t="n">
        <v>0.28</v>
      </c>
      <c r="M112" s="12">
        <f>H112*$T$5+I112*$T$6+J112*$T$7+K112*$T$8+MIN(F112/$T$11,1)*$T$9+MIN(L112/0.3,1)*$T$10</f>
        <v/>
      </c>
      <c r="N112" s="10">
        <f>RANK(M112,$M$5:$M$154)</f>
        <v/>
      </c>
      <c r="O112" s="10">
        <f>SUMPRODUCT(($C$5:$C$154=C112)*($M$5:$M$154&gt;M112))+1</f>
        <v/>
      </c>
      <c r="P112" s="10">
        <f>ROUNDUP(N112/30,0)</f>
        <v/>
      </c>
      <c r="Q112" s="10">
        <f>IF(OR(M112&lt;0.75,H112&lt;0.8),"Coaching","On Track")</f>
        <v/>
      </c>
      <c r="R112">
        <f>C112&amp;"|"&amp;O112</f>
        <v/>
      </c>
    </row>
    <row r="113">
      <c r="A113" s="5" t="inlineStr">
        <is>
          <t>A5109</t>
        </is>
      </c>
      <c r="B113" s="6" t="inlineStr">
        <is>
          <t>Thabo Naidoo</t>
        </is>
      </c>
      <c r="C113" s="6" t="inlineStr">
        <is>
          <t>ABSA Collections</t>
        </is>
      </c>
      <c r="D113" s="6" t="inlineStr">
        <is>
          <t>Lerato Nel</t>
        </is>
      </c>
      <c r="E113" s="5" t="n">
        <v>34</v>
      </c>
      <c r="F113" s="5" t="n">
        <v>2081</v>
      </c>
      <c r="G113" s="5" t="n">
        <v>290</v>
      </c>
      <c r="H113" s="7" t="n">
        <v>0.8</v>
      </c>
      <c r="I113" s="7" t="n">
        <v>0.91</v>
      </c>
      <c r="J113" s="7" t="n">
        <v>0.85</v>
      </c>
      <c r="K113" s="7" t="n">
        <v>0.99</v>
      </c>
      <c r="L113" s="7" t="n">
        <v>0.28</v>
      </c>
      <c r="M113" s="7">
        <f>H113*$T$5+I113*$T$6+J113*$T$7+K113*$T$8+MIN(F113/$T$11,1)*$T$9+MIN(L113/0.3,1)*$T$10</f>
        <v/>
      </c>
      <c r="N113" s="5">
        <f>RANK(M113,$M$5:$M$154)</f>
        <v/>
      </c>
      <c r="O113" s="5">
        <f>SUMPRODUCT(($C$5:$C$154=C113)*($M$5:$M$154&gt;M113))+1</f>
        <v/>
      </c>
      <c r="P113" s="5">
        <f>ROUNDUP(N113/30,0)</f>
        <v/>
      </c>
      <c r="Q113" s="5">
        <f>IF(OR(M113&lt;0.75,H113&lt;0.8),"Coaching","On Track")</f>
        <v/>
      </c>
      <c r="R113">
        <f>C113&amp;"|"&amp;O113</f>
        <v/>
      </c>
    </row>
    <row r="114">
      <c r="A114" s="10" t="inlineStr">
        <is>
          <t>A5110</t>
        </is>
      </c>
      <c r="B114" s="11" t="inlineStr">
        <is>
          <t>Bongani Khumalo</t>
        </is>
      </c>
      <c r="C114" s="11" t="inlineStr">
        <is>
          <t>Cell C Winback</t>
        </is>
      </c>
      <c r="D114" s="11" t="inlineStr">
        <is>
          <t>Anele Govender</t>
        </is>
      </c>
      <c r="E114" s="10" t="n">
        <v>25</v>
      </c>
      <c r="F114" s="10" t="n">
        <v>967</v>
      </c>
      <c r="G114" s="10" t="n">
        <v>286</v>
      </c>
      <c r="H114" s="12" t="n">
        <v>0.74</v>
      </c>
      <c r="I114" s="12" t="n">
        <v>0.8</v>
      </c>
      <c r="J114" s="12" t="n">
        <v>0.86</v>
      </c>
      <c r="K114" s="12" t="n">
        <v>0.87</v>
      </c>
      <c r="L114" s="12" t="n">
        <v>0.1</v>
      </c>
      <c r="M114" s="12">
        <f>H114*$T$5+I114*$T$6+J114*$T$7+K114*$T$8+MIN(F114/$T$11,1)*$T$9+MIN(L114/0.3,1)*$T$10</f>
        <v/>
      </c>
      <c r="N114" s="10">
        <f>RANK(M114,$M$5:$M$154)</f>
        <v/>
      </c>
      <c r="O114" s="10">
        <f>SUMPRODUCT(($C$5:$C$154=C114)*($M$5:$M$154&gt;M114))+1</f>
        <v/>
      </c>
      <c r="P114" s="10">
        <f>ROUNDUP(N114/30,0)</f>
        <v/>
      </c>
      <c r="Q114" s="10">
        <f>IF(OR(M114&lt;0.75,H114&lt;0.8),"Coaching","On Track")</f>
        <v/>
      </c>
      <c r="R114">
        <f>C114&amp;"|"&amp;O114</f>
        <v/>
      </c>
    </row>
    <row r="115">
      <c r="A115" s="5" t="inlineStr">
        <is>
          <t>A5111</t>
        </is>
      </c>
      <c r="B115" s="6" t="inlineStr">
        <is>
          <t>Bongani Petersen</t>
        </is>
      </c>
      <c r="C115" s="6" t="inlineStr">
        <is>
          <t>Standard Bank Helpdesk</t>
        </is>
      </c>
      <c r="D115" s="6" t="inlineStr">
        <is>
          <t>Refilwe Govender</t>
        </is>
      </c>
      <c r="E115" s="5" t="n">
        <v>36</v>
      </c>
      <c r="F115" s="5" t="n">
        <v>1828</v>
      </c>
      <c r="G115" s="5" t="n">
        <v>279</v>
      </c>
      <c r="H115" s="7" t="n">
        <v>0.86</v>
      </c>
      <c r="I115" s="7" t="n">
        <v>0.82</v>
      </c>
      <c r="J115" s="7" t="n">
        <v>0.9399999999999999</v>
      </c>
      <c r="K115" s="7" t="n">
        <v>0.98</v>
      </c>
      <c r="L115" s="7" t="n">
        <v>0.09</v>
      </c>
      <c r="M115" s="7">
        <f>H115*$T$5+I115*$T$6+J115*$T$7+K115*$T$8+MIN(F115/$T$11,1)*$T$9+MIN(L115/0.3,1)*$T$10</f>
        <v/>
      </c>
      <c r="N115" s="5">
        <f>RANK(M115,$M$5:$M$154)</f>
        <v/>
      </c>
      <c r="O115" s="5">
        <f>SUMPRODUCT(($C$5:$C$154=C115)*($M$5:$M$154&gt;M115))+1</f>
        <v/>
      </c>
      <c r="P115" s="5">
        <f>ROUNDUP(N115/30,0)</f>
        <v/>
      </c>
      <c r="Q115" s="5">
        <f>IF(OR(M115&lt;0.75,H115&lt;0.8),"Coaching","On Track")</f>
        <v/>
      </c>
      <c r="R115">
        <f>C115&amp;"|"&amp;O115</f>
        <v/>
      </c>
    </row>
    <row r="116">
      <c r="A116" s="10" t="inlineStr">
        <is>
          <t>A5112</t>
        </is>
      </c>
      <c r="B116" s="11" t="inlineStr">
        <is>
          <t>Thabo Buthelezi</t>
        </is>
      </c>
      <c r="C116" s="11" t="inlineStr">
        <is>
          <t>Takealot Care</t>
        </is>
      </c>
      <c r="D116" s="11" t="inlineStr">
        <is>
          <t>Thabo Buthelezi</t>
        </is>
      </c>
      <c r="E116" s="10" t="n">
        <v>38</v>
      </c>
      <c r="F116" s="10" t="n">
        <v>1547</v>
      </c>
      <c r="G116" s="10" t="n">
        <v>347</v>
      </c>
      <c r="H116" s="12" t="n">
        <v>0.9399999999999999</v>
      </c>
      <c r="I116" s="12" t="n">
        <v>0.9399999999999999</v>
      </c>
      <c r="J116" s="12" t="n">
        <v>0.84</v>
      </c>
      <c r="K116" s="12" t="n">
        <v>0.89</v>
      </c>
      <c r="L116" s="12" t="n">
        <v>0.18</v>
      </c>
      <c r="M116" s="12">
        <f>H116*$T$5+I116*$T$6+J116*$T$7+K116*$T$8+MIN(F116/$T$11,1)*$T$9+MIN(L116/0.3,1)*$T$10</f>
        <v/>
      </c>
      <c r="N116" s="10">
        <f>RANK(M116,$M$5:$M$154)</f>
        <v/>
      </c>
      <c r="O116" s="10">
        <f>SUMPRODUCT(($C$5:$C$154=C116)*($M$5:$M$154&gt;M116))+1</f>
        <v/>
      </c>
      <c r="P116" s="10">
        <f>ROUNDUP(N116/30,0)</f>
        <v/>
      </c>
      <c r="Q116" s="10">
        <f>IF(OR(M116&lt;0.75,H116&lt;0.8),"Coaching","On Track")</f>
        <v/>
      </c>
      <c r="R116">
        <f>C116&amp;"|"&amp;O116</f>
        <v/>
      </c>
    </row>
    <row r="117">
      <c r="A117" s="5" t="inlineStr">
        <is>
          <t>A5113</t>
        </is>
      </c>
      <c r="B117" s="6" t="inlineStr">
        <is>
          <t>Nomvula Nkosi</t>
        </is>
      </c>
      <c r="C117" s="6" t="inlineStr">
        <is>
          <t>MTN Retentions</t>
        </is>
      </c>
      <c r="D117" s="6" t="inlineStr">
        <is>
          <t>Refilwe Govender</t>
        </is>
      </c>
      <c r="E117" s="5" t="n">
        <v>34</v>
      </c>
      <c r="F117" s="5" t="n">
        <v>1313</v>
      </c>
      <c r="G117" s="5" t="n">
        <v>230</v>
      </c>
      <c r="H117" s="7" t="n">
        <v>0.8100000000000001</v>
      </c>
      <c r="I117" s="7" t="n">
        <v>0.85</v>
      </c>
      <c r="J117" s="7" t="n">
        <v>0.86</v>
      </c>
      <c r="K117" s="7" t="n">
        <v>0.89</v>
      </c>
      <c r="L117" s="7" t="n">
        <v>0.08</v>
      </c>
      <c r="M117" s="7">
        <f>H117*$T$5+I117*$T$6+J117*$T$7+K117*$T$8+MIN(F117/$T$11,1)*$T$9+MIN(L117/0.3,1)*$T$10</f>
        <v/>
      </c>
      <c r="N117" s="5">
        <f>RANK(M117,$M$5:$M$154)</f>
        <v/>
      </c>
      <c r="O117" s="5">
        <f>SUMPRODUCT(($C$5:$C$154=C117)*($M$5:$M$154&gt;M117))+1</f>
        <v/>
      </c>
      <c r="P117" s="5">
        <f>ROUNDUP(N117/30,0)</f>
        <v/>
      </c>
      <c r="Q117" s="5">
        <f>IF(OR(M117&lt;0.75,H117&lt;0.8),"Coaching","On Track")</f>
        <v/>
      </c>
      <c r="R117">
        <f>C117&amp;"|"&amp;O117</f>
        <v/>
      </c>
    </row>
    <row r="118">
      <c r="A118" s="10" t="inlineStr">
        <is>
          <t>A5114</t>
        </is>
      </c>
      <c r="B118" s="11" t="inlineStr">
        <is>
          <t>Themba Buthelezi</t>
        </is>
      </c>
      <c r="C118" s="11" t="inlineStr">
        <is>
          <t>DStv Upsell</t>
        </is>
      </c>
      <c r="D118" s="11" t="inlineStr">
        <is>
          <t>Refilwe Govender</t>
        </is>
      </c>
      <c r="E118" s="10" t="n">
        <v>28</v>
      </c>
      <c r="F118" s="10" t="n">
        <v>1273</v>
      </c>
      <c r="G118" s="10" t="n">
        <v>348</v>
      </c>
      <c r="H118" s="12" t="n">
        <v>0.77</v>
      </c>
      <c r="I118" s="12" t="n">
        <v>0.71</v>
      </c>
      <c r="J118" s="12" t="n">
        <v>0.97</v>
      </c>
      <c r="K118" s="12" t="n">
        <v>0.82</v>
      </c>
      <c r="L118" s="12" t="n">
        <v>0.24</v>
      </c>
      <c r="M118" s="12">
        <f>H118*$T$5+I118*$T$6+J118*$T$7+K118*$T$8+MIN(F118/$T$11,1)*$T$9+MIN(L118/0.3,1)*$T$10</f>
        <v/>
      </c>
      <c r="N118" s="10">
        <f>RANK(M118,$M$5:$M$154)</f>
        <v/>
      </c>
      <c r="O118" s="10">
        <f>SUMPRODUCT(($C$5:$C$154=C118)*($M$5:$M$154&gt;M118))+1</f>
        <v/>
      </c>
      <c r="P118" s="10">
        <f>ROUNDUP(N118/30,0)</f>
        <v/>
      </c>
      <c r="Q118" s="10">
        <f>IF(OR(M118&lt;0.75,H118&lt;0.8),"Coaching","On Track")</f>
        <v/>
      </c>
      <c r="R118">
        <f>C118&amp;"|"&amp;O118</f>
        <v/>
      </c>
    </row>
    <row r="119">
      <c r="A119" s="5" t="inlineStr">
        <is>
          <t>A5115</t>
        </is>
      </c>
      <c r="B119" s="6" t="inlineStr">
        <is>
          <t>Bongani Tshabalala</t>
        </is>
      </c>
      <c r="C119" s="6" t="inlineStr">
        <is>
          <t>DStv Upsell</t>
        </is>
      </c>
      <c r="D119" s="6" t="inlineStr">
        <is>
          <t>Zanele Govender</t>
        </is>
      </c>
      <c r="E119" s="5" t="n">
        <v>39</v>
      </c>
      <c r="F119" s="5" t="n">
        <v>1740</v>
      </c>
      <c r="G119" s="5" t="n">
        <v>295</v>
      </c>
      <c r="H119" s="7" t="n">
        <v>0.98</v>
      </c>
      <c r="I119" s="7" t="n">
        <v>0.79</v>
      </c>
      <c r="J119" s="7" t="n">
        <v>0.91</v>
      </c>
      <c r="K119" s="7" t="n">
        <v>0.97</v>
      </c>
      <c r="L119" s="7" t="n">
        <v>0.21</v>
      </c>
      <c r="M119" s="7">
        <f>H119*$T$5+I119*$T$6+J119*$T$7+K119*$T$8+MIN(F119/$T$11,1)*$T$9+MIN(L119/0.3,1)*$T$10</f>
        <v/>
      </c>
      <c r="N119" s="5">
        <f>RANK(M119,$M$5:$M$154)</f>
        <v/>
      </c>
      <c r="O119" s="5">
        <f>SUMPRODUCT(($C$5:$C$154=C119)*($M$5:$M$154&gt;M119))+1</f>
        <v/>
      </c>
      <c r="P119" s="5">
        <f>ROUNDUP(N119/30,0)</f>
        <v/>
      </c>
      <c r="Q119" s="5">
        <f>IF(OR(M119&lt;0.75,H119&lt;0.8),"Coaching","On Track")</f>
        <v/>
      </c>
      <c r="R119">
        <f>C119&amp;"|"&amp;O119</f>
        <v/>
      </c>
    </row>
    <row r="120">
      <c r="A120" s="10" t="inlineStr">
        <is>
          <t>A5116</t>
        </is>
      </c>
      <c r="B120" s="11" t="inlineStr">
        <is>
          <t>Siyabonga Ndlovu</t>
        </is>
      </c>
      <c r="C120" s="11" t="inlineStr">
        <is>
          <t>Discovery Lead Gen</t>
        </is>
      </c>
      <c r="D120" s="11" t="inlineStr">
        <is>
          <t>Zodwa Molefe</t>
        </is>
      </c>
      <c r="E120" s="10" t="n">
        <v>7</v>
      </c>
      <c r="F120" s="10" t="n">
        <v>1270</v>
      </c>
      <c r="G120" s="10" t="n">
        <v>307</v>
      </c>
      <c r="H120" s="12" t="n">
        <v>0.93</v>
      </c>
      <c r="I120" s="12" t="n">
        <v>0.82</v>
      </c>
      <c r="J120" s="12" t="n">
        <v>0.9399999999999999</v>
      </c>
      <c r="K120" s="12" t="n">
        <v>0.95</v>
      </c>
      <c r="L120" s="12" t="n">
        <v>0.19</v>
      </c>
      <c r="M120" s="12">
        <f>H120*$T$5+I120*$T$6+J120*$T$7+K120*$T$8+MIN(F120/$T$11,1)*$T$9+MIN(L120/0.3,1)*$T$10</f>
        <v/>
      </c>
      <c r="N120" s="10">
        <f>RANK(M120,$M$5:$M$154)</f>
        <v/>
      </c>
      <c r="O120" s="10">
        <f>SUMPRODUCT(($C$5:$C$154=C120)*($M$5:$M$154&gt;M120))+1</f>
        <v/>
      </c>
      <c r="P120" s="10">
        <f>ROUNDUP(N120/30,0)</f>
        <v/>
      </c>
      <c r="Q120" s="10">
        <f>IF(OR(M120&lt;0.75,H120&lt;0.8),"Coaching","On Track")</f>
        <v/>
      </c>
      <c r="R120">
        <f>C120&amp;"|"&amp;O120</f>
        <v/>
      </c>
    </row>
    <row r="121">
      <c r="A121" s="5" t="inlineStr">
        <is>
          <t>A5117</t>
        </is>
      </c>
      <c r="B121" s="6" t="inlineStr">
        <is>
          <t>Palesa Govender</t>
        </is>
      </c>
      <c r="C121" s="6" t="inlineStr">
        <is>
          <t>Nedbank Debt Review</t>
        </is>
      </c>
      <c r="D121" s="6" t="inlineStr">
        <is>
          <t>Zanele Meyer</t>
        </is>
      </c>
      <c r="E121" s="5" t="n">
        <v>35</v>
      </c>
      <c r="F121" s="5" t="n">
        <v>1823</v>
      </c>
      <c r="G121" s="5" t="n">
        <v>283</v>
      </c>
      <c r="H121" s="7" t="n">
        <v>0.97</v>
      </c>
      <c r="I121" s="7" t="n">
        <v>0.88</v>
      </c>
      <c r="J121" s="7" t="n">
        <v>0.9399999999999999</v>
      </c>
      <c r="K121" s="7" t="n">
        <v>0.96</v>
      </c>
      <c r="L121" s="7" t="n">
        <v>0.28</v>
      </c>
      <c r="M121" s="7">
        <f>H121*$T$5+I121*$T$6+J121*$T$7+K121*$T$8+MIN(F121/$T$11,1)*$T$9+MIN(L121/0.3,1)*$T$10</f>
        <v/>
      </c>
      <c r="N121" s="5">
        <f>RANK(M121,$M$5:$M$154)</f>
        <v/>
      </c>
      <c r="O121" s="5">
        <f>SUMPRODUCT(($C$5:$C$154=C121)*($M$5:$M$154&gt;M121))+1</f>
        <v/>
      </c>
      <c r="P121" s="5">
        <f>ROUNDUP(N121/30,0)</f>
        <v/>
      </c>
      <c r="Q121" s="5">
        <f>IF(OR(M121&lt;0.75,H121&lt;0.8),"Coaching","On Track")</f>
        <v/>
      </c>
      <c r="R121">
        <f>C121&amp;"|"&amp;O121</f>
        <v/>
      </c>
    </row>
    <row r="122">
      <c r="A122" s="10" t="inlineStr">
        <is>
          <t>A5118</t>
        </is>
      </c>
      <c r="B122" s="11" t="inlineStr">
        <is>
          <t>Precious Zulu</t>
        </is>
      </c>
      <c r="C122" s="11" t="inlineStr">
        <is>
          <t>ABSA Collections</t>
        </is>
      </c>
      <c r="D122" s="11" t="inlineStr">
        <is>
          <t>Mandla Mokoena</t>
        </is>
      </c>
      <c r="E122" s="10" t="n">
        <v>23</v>
      </c>
      <c r="F122" s="10" t="n">
        <v>1632</v>
      </c>
      <c r="G122" s="10" t="n">
        <v>263</v>
      </c>
      <c r="H122" s="12" t="n">
        <v>0.91</v>
      </c>
      <c r="I122" s="12" t="n">
        <v>0.87</v>
      </c>
      <c r="J122" s="12" t="n">
        <v>0.92</v>
      </c>
      <c r="K122" s="12" t="n">
        <v>0.92</v>
      </c>
      <c r="L122" s="12" t="n">
        <v>0.26</v>
      </c>
      <c r="M122" s="12">
        <f>H122*$T$5+I122*$T$6+J122*$T$7+K122*$T$8+MIN(F122/$T$11,1)*$T$9+MIN(L122/0.3,1)*$T$10</f>
        <v/>
      </c>
      <c r="N122" s="10">
        <f>RANK(M122,$M$5:$M$154)</f>
        <v/>
      </c>
      <c r="O122" s="10">
        <f>SUMPRODUCT(($C$5:$C$154=C122)*($M$5:$M$154&gt;M122))+1</f>
        <v/>
      </c>
      <c r="P122" s="10">
        <f>ROUNDUP(N122/30,0)</f>
        <v/>
      </c>
      <c r="Q122" s="10">
        <f>IF(OR(M122&lt;0.75,H122&lt;0.8),"Coaching","On Track")</f>
        <v/>
      </c>
      <c r="R122">
        <f>C122&amp;"|"&amp;O122</f>
        <v/>
      </c>
    </row>
    <row r="123">
      <c r="A123" s="5" t="inlineStr">
        <is>
          <t>A5119</t>
        </is>
      </c>
      <c r="B123" s="6" t="inlineStr">
        <is>
          <t>Nomvula Radebe</t>
        </is>
      </c>
      <c r="C123" s="6" t="inlineStr">
        <is>
          <t>Cell C Winback</t>
        </is>
      </c>
      <c r="D123" s="6" t="inlineStr">
        <is>
          <t>Gift Dlamini</t>
        </is>
      </c>
      <c r="E123" s="5" t="n">
        <v>21</v>
      </c>
      <c r="F123" s="5" t="n">
        <v>1907</v>
      </c>
      <c r="G123" s="5" t="n">
        <v>262</v>
      </c>
      <c r="H123" s="7" t="n">
        <v>0.91</v>
      </c>
      <c r="I123" s="7" t="n">
        <v>0.73</v>
      </c>
      <c r="J123" s="7" t="n">
        <v>0.8100000000000001</v>
      </c>
      <c r="K123" s="7" t="n">
        <v>0.89</v>
      </c>
      <c r="L123" s="7" t="n">
        <v>0.2</v>
      </c>
      <c r="M123" s="7">
        <f>H123*$T$5+I123*$T$6+J123*$T$7+K123*$T$8+MIN(F123/$T$11,1)*$T$9+MIN(L123/0.3,1)*$T$10</f>
        <v/>
      </c>
      <c r="N123" s="5">
        <f>RANK(M123,$M$5:$M$154)</f>
        <v/>
      </c>
      <c r="O123" s="5">
        <f>SUMPRODUCT(($C$5:$C$154=C123)*($M$5:$M$154&gt;M123))+1</f>
        <v/>
      </c>
      <c r="P123" s="5">
        <f>ROUNDUP(N123/30,0)</f>
        <v/>
      </c>
      <c r="Q123" s="5">
        <f>IF(OR(M123&lt;0.75,H123&lt;0.8),"Coaching","On Track")</f>
        <v/>
      </c>
      <c r="R123">
        <f>C123&amp;"|"&amp;O123</f>
        <v/>
      </c>
    </row>
    <row r="124">
      <c r="A124" s="10" t="inlineStr">
        <is>
          <t>A5120</t>
        </is>
      </c>
      <c r="B124" s="11" t="inlineStr">
        <is>
          <t>Amahle Ngcobo</t>
        </is>
      </c>
      <c r="C124" s="11" t="inlineStr">
        <is>
          <t>Discovery Lead Gen</t>
        </is>
      </c>
      <c r="D124" s="11" t="inlineStr">
        <is>
          <t>Zodwa Molefe</t>
        </is>
      </c>
      <c r="E124" s="10" t="n">
        <v>2</v>
      </c>
      <c r="F124" s="10" t="n">
        <v>1678</v>
      </c>
      <c r="G124" s="10" t="n">
        <v>335</v>
      </c>
      <c r="H124" s="12" t="n">
        <v>0.83</v>
      </c>
      <c r="I124" s="12" t="n">
        <v>0.72</v>
      </c>
      <c r="J124" s="12" t="n">
        <v>0.8</v>
      </c>
      <c r="K124" s="12" t="n">
        <v>0.93</v>
      </c>
      <c r="L124" s="12" t="n">
        <v>0.07000000000000001</v>
      </c>
      <c r="M124" s="12">
        <f>H124*$T$5+I124*$T$6+J124*$T$7+K124*$T$8+MIN(F124/$T$11,1)*$T$9+MIN(L124/0.3,1)*$T$10</f>
        <v/>
      </c>
      <c r="N124" s="10">
        <f>RANK(M124,$M$5:$M$154)</f>
        <v/>
      </c>
      <c r="O124" s="10">
        <f>SUMPRODUCT(($C$5:$C$154=C124)*($M$5:$M$154&gt;M124))+1</f>
        <v/>
      </c>
      <c r="P124" s="10">
        <f>ROUNDUP(N124/30,0)</f>
        <v/>
      </c>
      <c r="Q124" s="10">
        <f>IF(OR(M124&lt;0.75,H124&lt;0.8),"Coaching","On Track")</f>
        <v/>
      </c>
      <c r="R124">
        <f>C124&amp;"|"&amp;O124</f>
        <v/>
      </c>
    </row>
    <row r="125">
      <c r="A125" s="5" t="inlineStr">
        <is>
          <t>A5121</t>
        </is>
      </c>
      <c r="B125" s="6" t="inlineStr">
        <is>
          <t>Kagiso Mokoena</t>
        </is>
      </c>
      <c r="C125" s="6" t="inlineStr">
        <is>
          <t>Telkom Tech Support</t>
        </is>
      </c>
      <c r="D125" s="6" t="inlineStr">
        <is>
          <t>Zodwa Nel</t>
        </is>
      </c>
      <c r="E125" s="5" t="n">
        <v>11</v>
      </c>
      <c r="F125" s="5" t="n">
        <v>1296</v>
      </c>
      <c r="G125" s="5" t="n">
        <v>292</v>
      </c>
      <c r="H125" s="7" t="n">
        <v>0.84</v>
      </c>
      <c r="I125" s="7" t="n">
        <v>0.85</v>
      </c>
      <c r="J125" s="7" t="n">
        <v>0.9</v>
      </c>
      <c r="K125" s="7" t="n">
        <v>0.97</v>
      </c>
      <c r="L125" s="7" t="n">
        <v>0.24</v>
      </c>
      <c r="M125" s="7">
        <f>H125*$T$5+I125*$T$6+J125*$T$7+K125*$T$8+MIN(F125/$T$11,1)*$T$9+MIN(L125/0.3,1)*$T$10</f>
        <v/>
      </c>
      <c r="N125" s="5">
        <f>RANK(M125,$M$5:$M$154)</f>
        <v/>
      </c>
      <c r="O125" s="5">
        <f>SUMPRODUCT(($C$5:$C$154=C125)*($M$5:$M$154&gt;M125))+1</f>
        <v/>
      </c>
      <c r="P125" s="5">
        <f>ROUNDUP(N125/30,0)</f>
        <v/>
      </c>
      <c r="Q125" s="5">
        <f>IF(OR(M125&lt;0.75,H125&lt;0.8),"Coaching","On Track")</f>
        <v/>
      </c>
      <c r="R125">
        <f>C125&amp;"|"&amp;O125</f>
        <v/>
      </c>
    </row>
    <row r="126">
      <c r="A126" s="10" t="inlineStr">
        <is>
          <t>A5122</t>
        </is>
      </c>
      <c r="B126" s="11" t="inlineStr">
        <is>
          <t>Precious Nel</t>
        </is>
      </c>
      <c r="C126" s="11" t="inlineStr">
        <is>
          <t>Nedbank Debt Review</t>
        </is>
      </c>
      <c r="D126" s="11" t="inlineStr">
        <is>
          <t>Zanele Meyer</t>
        </is>
      </c>
      <c r="E126" s="10" t="n">
        <v>27</v>
      </c>
      <c r="F126" s="10" t="n">
        <v>1494</v>
      </c>
      <c r="G126" s="10" t="n">
        <v>245</v>
      </c>
      <c r="H126" s="12" t="n">
        <v>0.97</v>
      </c>
      <c r="I126" s="12" t="n">
        <v>0.87</v>
      </c>
      <c r="J126" s="12" t="n">
        <v>0.9</v>
      </c>
      <c r="K126" s="12" t="n">
        <v>0.82</v>
      </c>
      <c r="L126" s="12" t="n">
        <v>0.3</v>
      </c>
      <c r="M126" s="12">
        <f>H126*$T$5+I126*$T$6+J126*$T$7+K126*$T$8+MIN(F126/$T$11,1)*$T$9+MIN(L126/0.3,1)*$T$10</f>
        <v/>
      </c>
      <c r="N126" s="10">
        <f>RANK(M126,$M$5:$M$154)</f>
        <v/>
      </c>
      <c r="O126" s="10">
        <f>SUMPRODUCT(($C$5:$C$154=C126)*($M$5:$M$154&gt;M126))+1</f>
        <v/>
      </c>
      <c r="P126" s="10">
        <f>ROUNDUP(N126/30,0)</f>
        <v/>
      </c>
      <c r="Q126" s="10">
        <f>IF(OR(M126&lt;0.75,H126&lt;0.8),"Coaching","On Track")</f>
        <v/>
      </c>
      <c r="R126">
        <f>C126&amp;"|"&amp;O126</f>
        <v/>
      </c>
    </row>
    <row r="127">
      <c r="A127" s="5" t="inlineStr">
        <is>
          <t>A5123</t>
        </is>
      </c>
      <c r="B127" s="6" t="inlineStr">
        <is>
          <t>Tumelo Radebe</t>
        </is>
      </c>
      <c r="C127" s="6" t="inlineStr">
        <is>
          <t>Standard Bank Helpdesk</t>
        </is>
      </c>
      <c r="D127" s="6" t="inlineStr">
        <is>
          <t>Zodwa Molefe</t>
        </is>
      </c>
      <c r="E127" s="5" t="n">
        <v>10</v>
      </c>
      <c r="F127" s="5" t="n">
        <v>1105</v>
      </c>
      <c r="G127" s="5" t="n">
        <v>303</v>
      </c>
      <c r="H127" s="7" t="n">
        <v>0.77</v>
      </c>
      <c r="I127" s="7" t="n">
        <v>0.95</v>
      </c>
      <c r="J127" s="7" t="n">
        <v>0.88</v>
      </c>
      <c r="K127" s="7" t="n">
        <v>0.99</v>
      </c>
      <c r="L127" s="7" t="n">
        <v>0.28</v>
      </c>
      <c r="M127" s="7">
        <f>H127*$T$5+I127*$T$6+J127*$T$7+K127*$T$8+MIN(F127/$T$11,1)*$T$9+MIN(L127/0.3,1)*$T$10</f>
        <v/>
      </c>
      <c r="N127" s="5">
        <f>RANK(M127,$M$5:$M$154)</f>
        <v/>
      </c>
      <c r="O127" s="5">
        <f>SUMPRODUCT(($C$5:$C$154=C127)*($M$5:$M$154&gt;M127))+1</f>
        <v/>
      </c>
      <c r="P127" s="5">
        <f>ROUNDUP(N127/30,0)</f>
        <v/>
      </c>
      <c r="Q127" s="5">
        <f>IF(OR(M127&lt;0.75,H127&lt;0.8),"Coaching","On Track")</f>
        <v/>
      </c>
      <c r="R127">
        <f>C127&amp;"|"&amp;O127</f>
        <v/>
      </c>
    </row>
    <row r="128">
      <c r="A128" s="10" t="inlineStr">
        <is>
          <t>A5124</t>
        </is>
      </c>
      <c r="B128" s="11" t="inlineStr">
        <is>
          <t>Kabelo Nel</t>
        </is>
      </c>
      <c r="C128" s="11" t="inlineStr">
        <is>
          <t>OUTsurance Sales</t>
        </is>
      </c>
      <c r="D128" s="11" t="inlineStr">
        <is>
          <t>Zanele Meyer</t>
        </is>
      </c>
      <c r="E128" s="10" t="n">
        <v>38</v>
      </c>
      <c r="F128" s="10" t="n">
        <v>1396</v>
      </c>
      <c r="G128" s="10" t="n">
        <v>331</v>
      </c>
      <c r="H128" s="12" t="n">
        <v>0.85</v>
      </c>
      <c r="I128" s="12" t="n">
        <v>0.79</v>
      </c>
      <c r="J128" s="12" t="n">
        <v>0.83</v>
      </c>
      <c r="K128" s="12" t="n">
        <v>0.95</v>
      </c>
      <c r="L128" s="12" t="n">
        <v>0.23</v>
      </c>
      <c r="M128" s="12">
        <f>H128*$T$5+I128*$T$6+J128*$T$7+K128*$T$8+MIN(F128/$T$11,1)*$T$9+MIN(L128/0.3,1)*$T$10</f>
        <v/>
      </c>
      <c r="N128" s="10">
        <f>RANK(M128,$M$5:$M$154)</f>
        <v/>
      </c>
      <c r="O128" s="10">
        <f>SUMPRODUCT(($C$5:$C$154=C128)*($M$5:$M$154&gt;M128))+1</f>
        <v/>
      </c>
      <c r="P128" s="10">
        <f>ROUNDUP(N128/30,0)</f>
        <v/>
      </c>
      <c r="Q128" s="10">
        <f>IF(OR(M128&lt;0.75,H128&lt;0.8),"Coaching","On Track")</f>
        <v/>
      </c>
      <c r="R128">
        <f>C128&amp;"|"&amp;O128</f>
        <v/>
      </c>
    </row>
    <row r="129">
      <c r="A129" s="5" t="inlineStr">
        <is>
          <t>A5125</t>
        </is>
      </c>
      <c r="B129" s="6" t="inlineStr">
        <is>
          <t>Refilwe Adams</t>
        </is>
      </c>
      <c r="C129" s="6" t="inlineStr">
        <is>
          <t>Nedbank Debt Review</t>
        </is>
      </c>
      <c r="D129" s="6" t="inlineStr">
        <is>
          <t>Zanele Meyer</t>
        </is>
      </c>
      <c r="E129" s="5" t="n">
        <v>3</v>
      </c>
      <c r="F129" s="5" t="n">
        <v>1967</v>
      </c>
      <c r="G129" s="5" t="n">
        <v>333</v>
      </c>
      <c r="H129" s="7" t="n">
        <v>0.75</v>
      </c>
      <c r="I129" s="7" t="n">
        <v>0.87</v>
      </c>
      <c r="J129" s="7" t="n">
        <v>0.85</v>
      </c>
      <c r="K129" s="7" t="n">
        <v>0.91</v>
      </c>
      <c r="L129" s="7" t="n">
        <v>0.26</v>
      </c>
      <c r="M129" s="7">
        <f>H129*$T$5+I129*$T$6+J129*$T$7+K129*$T$8+MIN(F129/$T$11,1)*$T$9+MIN(L129/0.3,1)*$T$10</f>
        <v/>
      </c>
      <c r="N129" s="5">
        <f>RANK(M129,$M$5:$M$154)</f>
        <v/>
      </c>
      <c r="O129" s="5">
        <f>SUMPRODUCT(($C$5:$C$154=C129)*($M$5:$M$154&gt;M129))+1</f>
        <v/>
      </c>
      <c r="P129" s="5">
        <f>ROUNDUP(N129/30,0)</f>
        <v/>
      </c>
      <c r="Q129" s="5">
        <f>IF(OR(M129&lt;0.75,H129&lt;0.8),"Coaching","On Track")</f>
        <v/>
      </c>
      <c r="R129">
        <f>C129&amp;"|"&amp;O129</f>
        <v/>
      </c>
    </row>
    <row r="130">
      <c r="A130" s="10" t="inlineStr">
        <is>
          <t>A5126</t>
        </is>
      </c>
      <c r="B130" s="11" t="inlineStr">
        <is>
          <t>Portia Sibiya</t>
        </is>
      </c>
      <c r="C130" s="11" t="inlineStr">
        <is>
          <t>MTN Retentions</t>
        </is>
      </c>
      <c r="D130" s="11" t="inlineStr">
        <is>
          <t>Lerato Nel</t>
        </is>
      </c>
      <c r="E130" s="10" t="n">
        <v>33</v>
      </c>
      <c r="F130" s="10" t="n">
        <v>1868</v>
      </c>
      <c r="G130" s="10" t="n">
        <v>331</v>
      </c>
      <c r="H130" s="12" t="n">
        <v>0.78</v>
      </c>
      <c r="I130" s="12" t="n">
        <v>0.88</v>
      </c>
      <c r="J130" s="12" t="n">
        <v>0.85</v>
      </c>
      <c r="K130" s="12" t="n">
        <v>0.88</v>
      </c>
      <c r="L130" s="12" t="n">
        <v>0.09</v>
      </c>
      <c r="M130" s="12">
        <f>H130*$T$5+I130*$T$6+J130*$T$7+K130*$T$8+MIN(F130/$T$11,1)*$T$9+MIN(L130/0.3,1)*$T$10</f>
        <v/>
      </c>
      <c r="N130" s="10">
        <f>RANK(M130,$M$5:$M$154)</f>
        <v/>
      </c>
      <c r="O130" s="10">
        <f>SUMPRODUCT(($C$5:$C$154=C130)*($M$5:$M$154&gt;M130))+1</f>
        <v/>
      </c>
      <c r="P130" s="10">
        <f>ROUNDUP(N130/30,0)</f>
        <v/>
      </c>
      <c r="Q130" s="10">
        <f>IF(OR(M130&lt;0.75,H130&lt;0.8),"Coaching","On Track")</f>
        <v/>
      </c>
      <c r="R130">
        <f>C130&amp;"|"&amp;O130</f>
        <v/>
      </c>
    </row>
    <row r="131">
      <c r="A131" s="5" t="inlineStr">
        <is>
          <t>A5127</t>
        </is>
      </c>
      <c r="B131" s="6" t="inlineStr">
        <is>
          <t>Wandile Tshabalala</t>
        </is>
      </c>
      <c r="C131" s="6" t="inlineStr">
        <is>
          <t>Discovery Lead Gen</t>
        </is>
      </c>
      <c r="D131" s="6" t="inlineStr">
        <is>
          <t>Vusi Molefe</t>
        </is>
      </c>
      <c r="E131" s="5" t="n">
        <v>10</v>
      </c>
      <c r="F131" s="5" t="n">
        <v>1468</v>
      </c>
      <c r="G131" s="5" t="n">
        <v>298</v>
      </c>
      <c r="H131" s="7" t="n">
        <v>0.85</v>
      </c>
      <c r="I131" s="7" t="n">
        <v>0.93</v>
      </c>
      <c r="J131" s="7" t="n">
        <v>0.88</v>
      </c>
      <c r="K131" s="7" t="n">
        <v>0.93</v>
      </c>
      <c r="L131" s="7" t="n">
        <v>0.16</v>
      </c>
      <c r="M131" s="7">
        <f>H131*$T$5+I131*$T$6+J131*$T$7+K131*$T$8+MIN(F131/$T$11,1)*$T$9+MIN(L131/0.3,1)*$T$10</f>
        <v/>
      </c>
      <c r="N131" s="5">
        <f>RANK(M131,$M$5:$M$154)</f>
        <v/>
      </c>
      <c r="O131" s="5">
        <f>SUMPRODUCT(($C$5:$C$154=C131)*($M$5:$M$154&gt;M131))+1</f>
        <v/>
      </c>
      <c r="P131" s="5">
        <f>ROUNDUP(N131/30,0)</f>
        <v/>
      </c>
      <c r="Q131" s="5">
        <f>IF(OR(M131&lt;0.75,H131&lt;0.8),"Coaching","On Track")</f>
        <v/>
      </c>
      <c r="R131">
        <f>C131&amp;"|"&amp;O131</f>
        <v/>
      </c>
    </row>
    <row r="132">
      <c r="A132" s="10" t="inlineStr">
        <is>
          <t>A5128</t>
        </is>
      </c>
      <c r="B132" s="11" t="inlineStr">
        <is>
          <t>Anele Motaung</t>
        </is>
      </c>
      <c r="C132" s="11" t="inlineStr">
        <is>
          <t>Takealot Care</t>
        </is>
      </c>
      <c r="D132" s="11" t="inlineStr">
        <is>
          <t>Anele Govender</t>
        </is>
      </c>
      <c r="E132" s="10" t="n">
        <v>32</v>
      </c>
      <c r="F132" s="10" t="n">
        <v>1592</v>
      </c>
      <c r="G132" s="10" t="n">
        <v>231</v>
      </c>
      <c r="H132" s="12" t="n">
        <v>0.87</v>
      </c>
      <c r="I132" s="12" t="n">
        <v>0.86</v>
      </c>
      <c r="J132" s="12" t="n">
        <v>0.92</v>
      </c>
      <c r="K132" s="12" t="n">
        <v>0.87</v>
      </c>
      <c r="L132" s="12" t="n">
        <v>0.24</v>
      </c>
      <c r="M132" s="12">
        <f>H132*$T$5+I132*$T$6+J132*$T$7+K132*$T$8+MIN(F132/$T$11,1)*$T$9+MIN(L132/0.3,1)*$T$10</f>
        <v/>
      </c>
      <c r="N132" s="10">
        <f>RANK(M132,$M$5:$M$154)</f>
        <v/>
      </c>
      <c r="O132" s="10">
        <f>SUMPRODUCT(($C$5:$C$154=C132)*($M$5:$M$154&gt;M132))+1</f>
        <v/>
      </c>
      <c r="P132" s="10">
        <f>ROUNDUP(N132/30,0)</f>
        <v/>
      </c>
      <c r="Q132" s="10">
        <f>IF(OR(M132&lt;0.75,H132&lt;0.8),"Coaching","On Track")</f>
        <v/>
      </c>
      <c r="R132">
        <f>C132&amp;"|"&amp;O132</f>
        <v/>
      </c>
    </row>
    <row r="133">
      <c r="A133" s="5" t="inlineStr">
        <is>
          <t>A5129</t>
        </is>
      </c>
      <c r="B133" s="6" t="inlineStr">
        <is>
          <t>Katlego Petersen</t>
        </is>
      </c>
      <c r="C133" s="6" t="inlineStr">
        <is>
          <t>Takealot Care</t>
        </is>
      </c>
      <c r="D133" s="6" t="inlineStr">
        <is>
          <t>Gift Dlamini</t>
        </is>
      </c>
      <c r="E133" s="5" t="n">
        <v>7</v>
      </c>
      <c r="F133" s="5" t="n">
        <v>916</v>
      </c>
      <c r="G133" s="5" t="n">
        <v>223</v>
      </c>
      <c r="H133" s="7" t="n">
        <v>0.9</v>
      </c>
      <c r="I133" s="7" t="n">
        <v>0.83</v>
      </c>
      <c r="J133" s="7" t="n">
        <v>0.87</v>
      </c>
      <c r="K133" s="7" t="n">
        <v>0.84</v>
      </c>
      <c r="L133" s="7" t="n">
        <v>0.04</v>
      </c>
      <c r="M133" s="7">
        <f>H133*$T$5+I133*$T$6+J133*$T$7+K133*$T$8+MIN(F133/$T$11,1)*$T$9+MIN(L133/0.3,1)*$T$10</f>
        <v/>
      </c>
      <c r="N133" s="5">
        <f>RANK(M133,$M$5:$M$154)</f>
        <v/>
      </c>
      <c r="O133" s="5">
        <f>SUMPRODUCT(($C$5:$C$154=C133)*($M$5:$M$154&gt;M133))+1</f>
        <v/>
      </c>
      <c r="P133" s="5">
        <f>ROUNDUP(N133/30,0)</f>
        <v/>
      </c>
      <c r="Q133" s="5">
        <f>IF(OR(M133&lt;0.75,H133&lt;0.8),"Coaching","On Track")</f>
        <v/>
      </c>
      <c r="R133">
        <f>C133&amp;"|"&amp;O133</f>
        <v/>
      </c>
    </row>
    <row r="134">
      <c r="A134" s="10" t="inlineStr">
        <is>
          <t>A5130</t>
        </is>
      </c>
      <c r="B134" s="11" t="inlineStr">
        <is>
          <t>Onalenna Botha</t>
        </is>
      </c>
      <c r="C134" s="11" t="inlineStr">
        <is>
          <t>Takealot Care</t>
        </is>
      </c>
      <c r="D134" s="11" t="inlineStr">
        <is>
          <t>Lerato Nel</t>
        </is>
      </c>
      <c r="E134" s="10" t="n">
        <v>1</v>
      </c>
      <c r="F134" s="10" t="n">
        <v>1544</v>
      </c>
      <c r="G134" s="10" t="n">
        <v>219</v>
      </c>
      <c r="H134" s="12" t="n">
        <v>0.9</v>
      </c>
      <c r="I134" s="12" t="n">
        <v>0.73</v>
      </c>
      <c r="J134" s="12" t="n">
        <v>0.85</v>
      </c>
      <c r="K134" s="12" t="n">
        <v>0.96</v>
      </c>
      <c r="L134" s="12" t="n">
        <v>0.24</v>
      </c>
      <c r="M134" s="12">
        <f>H134*$T$5+I134*$T$6+J134*$T$7+K134*$T$8+MIN(F134/$T$11,1)*$T$9+MIN(L134/0.3,1)*$T$10</f>
        <v/>
      </c>
      <c r="N134" s="10">
        <f>RANK(M134,$M$5:$M$154)</f>
        <v/>
      </c>
      <c r="O134" s="10">
        <f>SUMPRODUCT(($C$5:$C$154=C134)*($M$5:$M$154&gt;M134))+1</f>
        <v/>
      </c>
      <c r="P134" s="10">
        <f>ROUNDUP(N134/30,0)</f>
        <v/>
      </c>
      <c r="Q134" s="10">
        <f>IF(OR(M134&lt;0.75,H134&lt;0.8),"Coaching","On Track")</f>
        <v/>
      </c>
      <c r="R134">
        <f>C134&amp;"|"&amp;O134</f>
        <v/>
      </c>
    </row>
    <row r="135">
      <c r="A135" s="5" t="inlineStr">
        <is>
          <t>A5131</t>
        </is>
      </c>
      <c r="B135" s="6" t="inlineStr">
        <is>
          <t>Lwazi Adams</t>
        </is>
      </c>
      <c r="C135" s="6" t="inlineStr">
        <is>
          <t>Nedbank Debt Review</t>
        </is>
      </c>
      <c r="D135" s="6" t="inlineStr">
        <is>
          <t>Mandla Mokoena</t>
        </is>
      </c>
      <c r="E135" s="5" t="n">
        <v>29</v>
      </c>
      <c r="F135" s="5" t="n">
        <v>1592</v>
      </c>
      <c r="G135" s="5" t="n">
        <v>328</v>
      </c>
      <c r="H135" s="7" t="n">
        <v>0.93</v>
      </c>
      <c r="I135" s="7" t="n">
        <v>0.71</v>
      </c>
      <c r="J135" s="7" t="n">
        <v>0.84</v>
      </c>
      <c r="K135" s="7" t="n">
        <v>0.89</v>
      </c>
      <c r="L135" s="7" t="n">
        <v>0.07000000000000001</v>
      </c>
      <c r="M135" s="7">
        <f>H135*$T$5+I135*$T$6+J135*$T$7+K135*$T$8+MIN(F135/$T$11,1)*$T$9+MIN(L135/0.3,1)*$T$10</f>
        <v/>
      </c>
      <c r="N135" s="5">
        <f>RANK(M135,$M$5:$M$154)</f>
        <v/>
      </c>
      <c r="O135" s="5">
        <f>SUMPRODUCT(($C$5:$C$154=C135)*($M$5:$M$154&gt;M135))+1</f>
        <v/>
      </c>
      <c r="P135" s="5">
        <f>ROUNDUP(N135/30,0)</f>
        <v/>
      </c>
      <c r="Q135" s="5">
        <f>IF(OR(M135&lt;0.75,H135&lt;0.8),"Coaching","On Track")</f>
        <v/>
      </c>
      <c r="R135">
        <f>C135&amp;"|"&amp;O135</f>
        <v/>
      </c>
    </row>
    <row r="136">
      <c r="A136" s="10" t="inlineStr">
        <is>
          <t>A5132</t>
        </is>
      </c>
      <c r="B136" s="11" t="inlineStr">
        <is>
          <t>Portia Mabaso</t>
        </is>
      </c>
      <c r="C136" s="11" t="inlineStr">
        <is>
          <t>Takealot Care</t>
        </is>
      </c>
      <c r="D136" s="11" t="inlineStr">
        <is>
          <t>Precious Khumalo</t>
        </is>
      </c>
      <c r="E136" s="10" t="n">
        <v>25</v>
      </c>
      <c r="F136" s="10" t="n">
        <v>1460</v>
      </c>
      <c r="G136" s="10" t="n">
        <v>359</v>
      </c>
      <c r="H136" s="12" t="n">
        <v>0.8100000000000001</v>
      </c>
      <c r="I136" s="12" t="n">
        <v>0.79</v>
      </c>
      <c r="J136" s="12" t="n">
        <v>0.91</v>
      </c>
      <c r="K136" s="12" t="n">
        <v>0.92</v>
      </c>
      <c r="L136" s="12" t="n">
        <v>0.05</v>
      </c>
      <c r="M136" s="12">
        <f>H136*$T$5+I136*$T$6+J136*$T$7+K136*$T$8+MIN(F136/$T$11,1)*$T$9+MIN(L136/0.3,1)*$T$10</f>
        <v/>
      </c>
      <c r="N136" s="10">
        <f>RANK(M136,$M$5:$M$154)</f>
        <v/>
      </c>
      <c r="O136" s="10">
        <f>SUMPRODUCT(($C$5:$C$154=C136)*($M$5:$M$154&gt;M136))+1</f>
        <v/>
      </c>
      <c r="P136" s="10">
        <f>ROUNDUP(N136/30,0)</f>
        <v/>
      </c>
      <c r="Q136" s="10">
        <f>IF(OR(M136&lt;0.75,H136&lt;0.8),"Coaching","On Track")</f>
        <v/>
      </c>
      <c r="R136">
        <f>C136&amp;"|"&amp;O136</f>
        <v/>
      </c>
    </row>
    <row r="137">
      <c r="A137" s="5" t="inlineStr">
        <is>
          <t>A5133</t>
        </is>
      </c>
      <c r="B137" s="6" t="inlineStr">
        <is>
          <t>Thabo Maseko</t>
        </is>
      </c>
      <c r="C137" s="6" t="inlineStr">
        <is>
          <t>Nedbank Debt Review</t>
        </is>
      </c>
      <c r="D137" s="6" t="inlineStr">
        <is>
          <t>Zanele Meyer</t>
        </is>
      </c>
      <c r="E137" s="5" t="n">
        <v>1</v>
      </c>
      <c r="F137" s="5" t="n">
        <v>2007</v>
      </c>
      <c r="G137" s="5" t="n">
        <v>283</v>
      </c>
      <c r="H137" s="7" t="n">
        <v>0.95</v>
      </c>
      <c r="I137" s="7" t="n">
        <v>0.84</v>
      </c>
      <c r="J137" s="7" t="n">
        <v>0.9399999999999999</v>
      </c>
      <c r="K137" s="7" t="n">
        <v>0.91</v>
      </c>
      <c r="L137" s="7" t="n">
        <v>0.05</v>
      </c>
      <c r="M137" s="7">
        <f>H137*$T$5+I137*$T$6+J137*$T$7+K137*$T$8+MIN(F137/$T$11,1)*$T$9+MIN(L137/0.3,1)*$T$10</f>
        <v/>
      </c>
      <c r="N137" s="5">
        <f>RANK(M137,$M$5:$M$154)</f>
        <v/>
      </c>
      <c r="O137" s="5">
        <f>SUMPRODUCT(($C$5:$C$154=C137)*($M$5:$M$154&gt;M137))+1</f>
        <v/>
      </c>
      <c r="P137" s="5">
        <f>ROUNDUP(N137/30,0)</f>
        <v/>
      </c>
      <c r="Q137" s="5">
        <f>IF(OR(M137&lt;0.75,H137&lt;0.8),"Coaching","On Track")</f>
        <v/>
      </c>
      <c r="R137">
        <f>C137&amp;"|"&amp;O137</f>
        <v/>
      </c>
    </row>
    <row r="138">
      <c r="A138" s="10" t="inlineStr">
        <is>
          <t>A5134</t>
        </is>
      </c>
      <c r="B138" s="11" t="inlineStr">
        <is>
          <t>Boitumelo Van Wyk</t>
        </is>
      </c>
      <c r="C138" s="11" t="inlineStr">
        <is>
          <t>Vodacom Upgrades</t>
        </is>
      </c>
      <c r="D138" s="11" t="inlineStr">
        <is>
          <t>Precious Khumalo</t>
        </is>
      </c>
      <c r="E138" s="10" t="n">
        <v>12</v>
      </c>
      <c r="F138" s="10" t="n">
        <v>999</v>
      </c>
      <c r="G138" s="10" t="n">
        <v>253</v>
      </c>
      <c r="H138" s="12" t="n">
        <v>0.86</v>
      </c>
      <c r="I138" s="12" t="n">
        <v>0.83</v>
      </c>
      <c r="J138" s="12" t="n">
        <v>0.93</v>
      </c>
      <c r="K138" s="12" t="n">
        <v>1</v>
      </c>
      <c r="L138" s="12" t="n">
        <v>0.13</v>
      </c>
      <c r="M138" s="12">
        <f>H138*$T$5+I138*$T$6+J138*$T$7+K138*$T$8+MIN(F138/$T$11,1)*$T$9+MIN(L138/0.3,1)*$T$10</f>
        <v/>
      </c>
      <c r="N138" s="10">
        <f>RANK(M138,$M$5:$M$154)</f>
        <v/>
      </c>
      <c r="O138" s="10">
        <f>SUMPRODUCT(($C$5:$C$154=C138)*($M$5:$M$154&gt;M138))+1</f>
        <v/>
      </c>
      <c r="P138" s="10">
        <f>ROUNDUP(N138/30,0)</f>
        <v/>
      </c>
      <c r="Q138" s="10">
        <f>IF(OR(M138&lt;0.75,H138&lt;0.8),"Coaching","On Track")</f>
        <v/>
      </c>
      <c r="R138">
        <f>C138&amp;"|"&amp;O138</f>
        <v/>
      </c>
    </row>
    <row r="139">
      <c r="A139" s="5" t="inlineStr">
        <is>
          <t>A5135</t>
        </is>
      </c>
      <c r="B139" s="6" t="inlineStr">
        <is>
          <t>Kagiso Khumalo</t>
        </is>
      </c>
      <c r="C139" s="6" t="inlineStr">
        <is>
          <t>Shoprite Surveys</t>
        </is>
      </c>
      <c r="D139" s="6" t="inlineStr">
        <is>
          <t>Zodwa Molefe</t>
        </is>
      </c>
      <c r="E139" s="5" t="n">
        <v>6</v>
      </c>
      <c r="F139" s="5" t="n">
        <v>1429</v>
      </c>
      <c r="G139" s="5" t="n">
        <v>240</v>
      </c>
      <c r="H139" s="7" t="n">
        <v>0.92</v>
      </c>
      <c r="I139" s="7" t="n">
        <v>0.8</v>
      </c>
      <c r="J139" s="7" t="n">
        <v>0.82</v>
      </c>
      <c r="K139" s="7" t="n">
        <v>1</v>
      </c>
      <c r="L139" s="7" t="n">
        <v>0.03</v>
      </c>
      <c r="M139" s="7">
        <f>H139*$T$5+I139*$T$6+J139*$T$7+K139*$T$8+MIN(F139/$T$11,1)*$T$9+MIN(L139/0.3,1)*$T$10</f>
        <v/>
      </c>
      <c r="N139" s="5">
        <f>RANK(M139,$M$5:$M$154)</f>
        <v/>
      </c>
      <c r="O139" s="5">
        <f>SUMPRODUCT(($C$5:$C$154=C139)*($M$5:$M$154&gt;M139))+1</f>
        <v/>
      </c>
      <c r="P139" s="5">
        <f>ROUNDUP(N139/30,0)</f>
        <v/>
      </c>
      <c r="Q139" s="5">
        <f>IF(OR(M139&lt;0.75,H139&lt;0.8),"Coaching","On Track")</f>
        <v/>
      </c>
      <c r="R139">
        <f>C139&amp;"|"&amp;O139</f>
        <v/>
      </c>
    </row>
    <row r="140">
      <c r="A140" s="10" t="inlineStr">
        <is>
          <t>A5136</t>
        </is>
      </c>
      <c r="B140" s="11" t="inlineStr">
        <is>
          <t>Portia Govender</t>
        </is>
      </c>
      <c r="C140" s="11" t="inlineStr">
        <is>
          <t>Takealot Care</t>
        </is>
      </c>
      <c r="D140" s="11" t="inlineStr">
        <is>
          <t>Thabo Buthelezi</t>
        </is>
      </c>
      <c r="E140" s="10" t="n">
        <v>19</v>
      </c>
      <c r="F140" s="10" t="n">
        <v>1644</v>
      </c>
      <c r="G140" s="10" t="n">
        <v>222</v>
      </c>
      <c r="H140" s="12" t="n">
        <v>0.8100000000000001</v>
      </c>
      <c r="I140" s="12" t="n">
        <v>0.8</v>
      </c>
      <c r="J140" s="12" t="n">
        <v>0.83</v>
      </c>
      <c r="K140" s="12" t="n">
        <v>0.84</v>
      </c>
      <c r="L140" s="12" t="n">
        <v>0.17</v>
      </c>
      <c r="M140" s="12">
        <f>H140*$T$5+I140*$T$6+J140*$T$7+K140*$T$8+MIN(F140/$T$11,1)*$T$9+MIN(L140/0.3,1)*$T$10</f>
        <v/>
      </c>
      <c r="N140" s="10">
        <f>RANK(M140,$M$5:$M$154)</f>
        <v/>
      </c>
      <c r="O140" s="10">
        <f>SUMPRODUCT(($C$5:$C$154=C140)*($M$5:$M$154&gt;M140))+1</f>
        <v/>
      </c>
      <c r="P140" s="10">
        <f>ROUNDUP(N140/30,0)</f>
        <v/>
      </c>
      <c r="Q140" s="10">
        <f>IF(OR(M140&lt;0.75,H140&lt;0.8),"Coaching","On Track")</f>
        <v/>
      </c>
      <c r="R140">
        <f>C140&amp;"|"&amp;O140</f>
        <v/>
      </c>
    </row>
    <row r="141">
      <c r="A141" s="5" t="inlineStr">
        <is>
          <t>A5137</t>
        </is>
      </c>
      <c r="B141" s="6" t="inlineStr">
        <is>
          <t>Precious Motaung</t>
        </is>
      </c>
      <c r="C141" s="6" t="inlineStr">
        <is>
          <t>OUTsurance Sales</t>
        </is>
      </c>
      <c r="D141" s="6" t="inlineStr">
        <is>
          <t>Zodwa Molefe</t>
        </is>
      </c>
      <c r="E141" s="5" t="n">
        <v>39</v>
      </c>
      <c r="F141" s="5" t="n">
        <v>1051</v>
      </c>
      <c r="G141" s="5" t="n">
        <v>315</v>
      </c>
      <c r="H141" s="7" t="n">
        <v>0.96</v>
      </c>
      <c r="I141" s="7" t="n">
        <v>0.71</v>
      </c>
      <c r="J141" s="7" t="n">
        <v>0.96</v>
      </c>
      <c r="K141" s="7" t="n">
        <v>0.9399999999999999</v>
      </c>
      <c r="L141" s="7" t="n">
        <v>0.2</v>
      </c>
      <c r="M141" s="7">
        <f>H141*$T$5+I141*$T$6+J141*$T$7+K141*$T$8+MIN(F141/$T$11,1)*$T$9+MIN(L141/0.3,1)*$T$10</f>
        <v/>
      </c>
      <c r="N141" s="5">
        <f>RANK(M141,$M$5:$M$154)</f>
        <v/>
      </c>
      <c r="O141" s="5">
        <f>SUMPRODUCT(($C$5:$C$154=C141)*($M$5:$M$154&gt;M141))+1</f>
        <v/>
      </c>
      <c r="P141" s="5">
        <f>ROUNDUP(N141/30,0)</f>
        <v/>
      </c>
      <c r="Q141" s="5">
        <f>IF(OR(M141&lt;0.75,H141&lt;0.8),"Coaching","On Track")</f>
        <v/>
      </c>
      <c r="R141">
        <f>C141&amp;"|"&amp;O141</f>
        <v/>
      </c>
    </row>
    <row r="142">
      <c r="A142" s="10" t="inlineStr">
        <is>
          <t>A5138</t>
        </is>
      </c>
      <c r="B142" s="11" t="inlineStr">
        <is>
          <t>Amahle Adams</t>
        </is>
      </c>
      <c r="C142" s="11" t="inlineStr">
        <is>
          <t>Cell C Winback</t>
        </is>
      </c>
      <c r="D142" s="11" t="inlineStr">
        <is>
          <t>Vusi Molefe</t>
        </is>
      </c>
      <c r="E142" s="10" t="n">
        <v>5</v>
      </c>
      <c r="F142" s="10" t="n">
        <v>1674</v>
      </c>
      <c r="G142" s="10" t="n">
        <v>347</v>
      </c>
      <c r="H142" s="12" t="n">
        <v>0.79</v>
      </c>
      <c r="I142" s="12" t="n">
        <v>0.87</v>
      </c>
      <c r="J142" s="12" t="n">
        <v>0.84</v>
      </c>
      <c r="K142" s="12" t="n">
        <v>0.9</v>
      </c>
      <c r="L142" s="12" t="n">
        <v>0.06</v>
      </c>
      <c r="M142" s="12">
        <f>H142*$T$5+I142*$T$6+J142*$T$7+K142*$T$8+MIN(F142/$T$11,1)*$T$9+MIN(L142/0.3,1)*$T$10</f>
        <v/>
      </c>
      <c r="N142" s="10">
        <f>RANK(M142,$M$5:$M$154)</f>
        <v/>
      </c>
      <c r="O142" s="10">
        <f>SUMPRODUCT(($C$5:$C$154=C142)*($M$5:$M$154&gt;M142))+1</f>
        <v/>
      </c>
      <c r="P142" s="10">
        <f>ROUNDUP(N142/30,0)</f>
        <v/>
      </c>
      <c r="Q142" s="10">
        <f>IF(OR(M142&lt;0.75,H142&lt;0.8),"Coaching","On Track")</f>
        <v/>
      </c>
      <c r="R142">
        <f>C142&amp;"|"&amp;O142</f>
        <v/>
      </c>
    </row>
    <row r="143">
      <c r="A143" s="5" t="inlineStr">
        <is>
          <t>A5139</t>
        </is>
      </c>
      <c r="B143" s="6" t="inlineStr">
        <is>
          <t>Themba Mabaso</t>
        </is>
      </c>
      <c r="C143" s="6" t="inlineStr">
        <is>
          <t>ABSA Collections</t>
        </is>
      </c>
      <c r="D143" s="6" t="inlineStr">
        <is>
          <t>Precious Khumalo</t>
        </is>
      </c>
      <c r="E143" s="5" t="n">
        <v>15</v>
      </c>
      <c r="F143" s="5" t="n">
        <v>1188</v>
      </c>
      <c r="G143" s="5" t="n">
        <v>311</v>
      </c>
      <c r="H143" s="7" t="n">
        <v>0.8</v>
      </c>
      <c r="I143" s="7" t="n">
        <v>0.84</v>
      </c>
      <c r="J143" s="7" t="n">
        <v>0.86</v>
      </c>
      <c r="K143" s="7" t="n">
        <v>0.83</v>
      </c>
      <c r="L143" s="7" t="n">
        <v>0.04</v>
      </c>
      <c r="M143" s="7">
        <f>H143*$T$5+I143*$T$6+J143*$T$7+K143*$T$8+MIN(F143/$T$11,1)*$T$9+MIN(L143/0.3,1)*$T$10</f>
        <v/>
      </c>
      <c r="N143" s="5">
        <f>RANK(M143,$M$5:$M$154)</f>
        <v/>
      </c>
      <c r="O143" s="5">
        <f>SUMPRODUCT(($C$5:$C$154=C143)*($M$5:$M$154&gt;M143))+1</f>
        <v/>
      </c>
      <c r="P143" s="5">
        <f>ROUNDUP(N143/30,0)</f>
        <v/>
      </c>
      <c r="Q143" s="5">
        <f>IF(OR(M143&lt;0.75,H143&lt;0.8),"Coaching","On Track")</f>
        <v/>
      </c>
      <c r="R143">
        <f>C143&amp;"|"&amp;O143</f>
        <v/>
      </c>
    </row>
    <row r="144">
      <c r="A144" s="10" t="inlineStr">
        <is>
          <t>A5140</t>
        </is>
      </c>
      <c r="B144" s="11" t="inlineStr">
        <is>
          <t>Amahle Petersen</t>
        </is>
      </c>
      <c r="C144" s="11" t="inlineStr">
        <is>
          <t>Standard Bank Helpdesk</t>
        </is>
      </c>
      <c r="D144" s="11" t="inlineStr">
        <is>
          <t>Anele Govender</t>
        </is>
      </c>
      <c r="E144" s="10" t="n">
        <v>23</v>
      </c>
      <c r="F144" s="10" t="n">
        <v>1695</v>
      </c>
      <c r="G144" s="10" t="n">
        <v>298</v>
      </c>
      <c r="H144" s="12" t="n">
        <v>0.79</v>
      </c>
      <c r="I144" s="12" t="n">
        <v>0.8100000000000001</v>
      </c>
      <c r="J144" s="12" t="n">
        <v>0.89</v>
      </c>
      <c r="K144" s="12" t="n">
        <v>0.88</v>
      </c>
      <c r="L144" s="12" t="n">
        <v>0.07000000000000001</v>
      </c>
      <c r="M144" s="12">
        <f>H144*$T$5+I144*$T$6+J144*$T$7+K144*$T$8+MIN(F144/$T$11,1)*$T$9+MIN(L144/0.3,1)*$T$10</f>
        <v/>
      </c>
      <c r="N144" s="10">
        <f>RANK(M144,$M$5:$M$154)</f>
        <v/>
      </c>
      <c r="O144" s="10">
        <f>SUMPRODUCT(($C$5:$C$154=C144)*($M$5:$M$154&gt;M144))+1</f>
        <v/>
      </c>
      <c r="P144" s="10">
        <f>ROUNDUP(N144/30,0)</f>
        <v/>
      </c>
      <c r="Q144" s="10">
        <f>IF(OR(M144&lt;0.75,H144&lt;0.8),"Coaching","On Track")</f>
        <v/>
      </c>
      <c r="R144">
        <f>C144&amp;"|"&amp;O144</f>
        <v/>
      </c>
    </row>
    <row r="145">
      <c r="A145" s="5" t="inlineStr">
        <is>
          <t>A5141</t>
        </is>
      </c>
      <c r="B145" s="6" t="inlineStr">
        <is>
          <t>Bandile Van Wyk</t>
        </is>
      </c>
      <c r="C145" s="6" t="inlineStr">
        <is>
          <t>Telkom Tech Support</t>
        </is>
      </c>
      <c r="D145" s="6" t="inlineStr">
        <is>
          <t>Precious Khumalo</t>
        </is>
      </c>
      <c r="E145" s="5" t="n">
        <v>20</v>
      </c>
      <c r="F145" s="5" t="n">
        <v>1257</v>
      </c>
      <c r="G145" s="5" t="n">
        <v>331</v>
      </c>
      <c r="H145" s="7" t="n">
        <v>0.88</v>
      </c>
      <c r="I145" s="7" t="n">
        <v>0.82</v>
      </c>
      <c r="J145" s="7" t="n">
        <v>0.89</v>
      </c>
      <c r="K145" s="7" t="n">
        <v>0.97</v>
      </c>
      <c r="L145" s="7" t="n">
        <v>0.15</v>
      </c>
      <c r="M145" s="7">
        <f>H145*$T$5+I145*$T$6+J145*$T$7+K145*$T$8+MIN(F145/$T$11,1)*$T$9+MIN(L145/0.3,1)*$T$10</f>
        <v/>
      </c>
      <c r="N145" s="5">
        <f>RANK(M145,$M$5:$M$154)</f>
        <v/>
      </c>
      <c r="O145" s="5">
        <f>SUMPRODUCT(($C$5:$C$154=C145)*($M$5:$M$154&gt;M145))+1</f>
        <v/>
      </c>
      <c r="P145" s="5">
        <f>ROUNDUP(N145/30,0)</f>
        <v/>
      </c>
      <c r="Q145" s="5">
        <f>IF(OR(M145&lt;0.75,H145&lt;0.8),"Coaching","On Track")</f>
        <v/>
      </c>
      <c r="R145">
        <f>C145&amp;"|"&amp;O145</f>
        <v/>
      </c>
    </row>
    <row r="146">
      <c r="A146" s="10" t="inlineStr">
        <is>
          <t>A5142</t>
        </is>
      </c>
      <c r="B146" s="11" t="inlineStr">
        <is>
          <t>Katlego Mahlangu</t>
        </is>
      </c>
      <c r="C146" s="11" t="inlineStr">
        <is>
          <t>Shoprite Surveys</t>
        </is>
      </c>
      <c r="D146" s="11" t="inlineStr">
        <is>
          <t>Zodwa Molefe</t>
        </is>
      </c>
      <c r="E146" s="10" t="n">
        <v>16</v>
      </c>
      <c r="F146" s="10" t="n">
        <v>1243</v>
      </c>
      <c r="G146" s="10" t="n">
        <v>353</v>
      </c>
      <c r="H146" s="12" t="n">
        <v>0.92</v>
      </c>
      <c r="I146" s="12" t="n">
        <v>0.91</v>
      </c>
      <c r="J146" s="12" t="n">
        <v>0.89</v>
      </c>
      <c r="K146" s="12" t="n">
        <v>0.93</v>
      </c>
      <c r="L146" s="12" t="n">
        <v>0.27</v>
      </c>
      <c r="M146" s="12">
        <f>H146*$T$5+I146*$T$6+J146*$T$7+K146*$T$8+MIN(F146/$T$11,1)*$T$9+MIN(L146/0.3,1)*$T$10</f>
        <v/>
      </c>
      <c r="N146" s="10">
        <f>RANK(M146,$M$5:$M$154)</f>
        <v/>
      </c>
      <c r="O146" s="10">
        <f>SUMPRODUCT(($C$5:$C$154=C146)*($M$5:$M$154&gt;M146))+1</f>
        <v/>
      </c>
      <c r="P146" s="10">
        <f>ROUNDUP(N146/30,0)</f>
        <v/>
      </c>
      <c r="Q146" s="10">
        <f>IF(OR(M146&lt;0.75,H146&lt;0.8),"Coaching","On Track")</f>
        <v/>
      </c>
      <c r="R146">
        <f>C146&amp;"|"&amp;O146</f>
        <v/>
      </c>
    </row>
    <row r="147">
      <c r="A147" s="5" t="inlineStr">
        <is>
          <t>A5143</t>
        </is>
      </c>
      <c r="B147" s="6" t="inlineStr">
        <is>
          <t>Themba Nkosi</t>
        </is>
      </c>
      <c r="C147" s="6" t="inlineStr">
        <is>
          <t>Nedbank Debt Review</t>
        </is>
      </c>
      <c r="D147" s="6" t="inlineStr">
        <is>
          <t>Zodwa Molefe</t>
        </is>
      </c>
      <c r="E147" s="5" t="n">
        <v>32</v>
      </c>
      <c r="F147" s="5" t="n">
        <v>1047</v>
      </c>
      <c r="G147" s="5" t="n">
        <v>249</v>
      </c>
      <c r="H147" s="7" t="n">
        <v>0.74</v>
      </c>
      <c r="I147" s="7" t="n">
        <v>0.72</v>
      </c>
      <c r="J147" s="7" t="n">
        <v>0.82</v>
      </c>
      <c r="K147" s="7" t="n">
        <v>0.93</v>
      </c>
      <c r="L147" s="7" t="n">
        <v>0.24</v>
      </c>
      <c r="M147" s="7">
        <f>H147*$T$5+I147*$T$6+J147*$T$7+K147*$T$8+MIN(F147/$T$11,1)*$T$9+MIN(L147/0.3,1)*$T$10</f>
        <v/>
      </c>
      <c r="N147" s="5">
        <f>RANK(M147,$M$5:$M$154)</f>
        <v/>
      </c>
      <c r="O147" s="5">
        <f>SUMPRODUCT(($C$5:$C$154=C147)*($M$5:$M$154&gt;M147))+1</f>
        <v/>
      </c>
      <c r="P147" s="5">
        <f>ROUNDUP(N147/30,0)</f>
        <v/>
      </c>
      <c r="Q147" s="5">
        <f>IF(OR(M147&lt;0.75,H147&lt;0.8),"Coaching","On Track")</f>
        <v/>
      </c>
      <c r="R147">
        <f>C147&amp;"|"&amp;O147</f>
        <v/>
      </c>
    </row>
    <row r="148">
      <c r="A148" s="10" t="inlineStr">
        <is>
          <t>A5144</t>
        </is>
      </c>
      <c r="B148" s="11" t="inlineStr">
        <is>
          <t>Palesa Jacobs</t>
        </is>
      </c>
      <c r="C148" s="11" t="inlineStr">
        <is>
          <t>Standard Bank Helpdesk</t>
        </is>
      </c>
      <c r="D148" s="11" t="inlineStr">
        <is>
          <t>Zanele Govender</t>
        </is>
      </c>
      <c r="E148" s="10" t="n">
        <v>15</v>
      </c>
      <c r="F148" s="10" t="n">
        <v>1647</v>
      </c>
      <c r="G148" s="10" t="n">
        <v>297</v>
      </c>
      <c r="H148" s="12" t="n">
        <v>0.92</v>
      </c>
      <c r="I148" s="12" t="n">
        <v>0.75</v>
      </c>
      <c r="J148" s="12" t="n">
        <v>0.8100000000000001</v>
      </c>
      <c r="K148" s="12" t="n">
        <v>0.99</v>
      </c>
      <c r="L148" s="12" t="n">
        <v>0.12</v>
      </c>
      <c r="M148" s="12">
        <f>H148*$T$5+I148*$T$6+J148*$T$7+K148*$T$8+MIN(F148/$T$11,1)*$T$9+MIN(L148/0.3,1)*$T$10</f>
        <v/>
      </c>
      <c r="N148" s="10">
        <f>RANK(M148,$M$5:$M$154)</f>
        <v/>
      </c>
      <c r="O148" s="10">
        <f>SUMPRODUCT(($C$5:$C$154=C148)*($M$5:$M$154&gt;M148))+1</f>
        <v/>
      </c>
      <c r="P148" s="10">
        <f>ROUNDUP(N148/30,0)</f>
        <v/>
      </c>
      <c r="Q148" s="10">
        <f>IF(OR(M148&lt;0.75,H148&lt;0.8),"Coaching","On Track")</f>
        <v/>
      </c>
      <c r="R148">
        <f>C148&amp;"|"&amp;O148</f>
        <v/>
      </c>
    </row>
    <row r="149">
      <c r="A149" s="5" t="inlineStr">
        <is>
          <t>A5145</t>
        </is>
      </c>
      <c r="B149" s="6" t="inlineStr">
        <is>
          <t>Bongani Sibiya</t>
        </is>
      </c>
      <c r="C149" s="6" t="inlineStr">
        <is>
          <t>Cell C Winback</t>
        </is>
      </c>
      <c r="D149" s="6" t="inlineStr">
        <is>
          <t>Anele Govender</t>
        </is>
      </c>
      <c r="E149" s="5" t="n">
        <v>2</v>
      </c>
      <c r="F149" s="5" t="n">
        <v>1118</v>
      </c>
      <c r="G149" s="5" t="n">
        <v>345</v>
      </c>
      <c r="H149" s="7" t="n">
        <v>0.75</v>
      </c>
      <c r="I149" s="7" t="n">
        <v>0.97</v>
      </c>
      <c r="J149" s="7" t="n">
        <v>0.89</v>
      </c>
      <c r="K149" s="7" t="n">
        <v>0.84</v>
      </c>
      <c r="L149" s="7" t="n">
        <v>0.2</v>
      </c>
      <c r="M149" s="7">
        <f>H149*$T$5+I149*$T$6+J149*$T$7+K149*$T$8+MIN(F149/$T$11,1)*$T$9+MIN(L149/0.3,1)*$T$10</f>
        <v/>
      </c>
      <c r="N149" s="5">
        <f>RANK(M149,$M$5:$M$154)</f>
        <v/>
      </c>
      <c r="O149" s="5">
        <f>SUMPRODUCT(($C$5:$C$154=C149)*($M$5:$M$154&gt;M149))+1</f>
        <v/>
      </c>
      <c r="P149" s="5">
        <f>ROUNDUP(N149/30,0)</f>
        <v/>
      </c>
      <c r="Q149" s="5">
        <f>IF(OR(M149&lt;0.75,H149&lt;0.8),"Coaching","On Track")</f>
        <v/>
      </c>
      <c r="R149">
        <f>C149&amp;"|"&amp;O149</f>
        <v/>
      </c>
    </row>
    <row r="150">
      <c r="A150" s="10" t="inlineStr">
        <is>
          <t>A5146</t>
        </is>
      </c>
      <c r="B150" s="11" t="inlineStr">
        <is>
          <t>Karabo Sithole</t>
        </is>
      </c>
      <c r="C150" s="11" t="inlineStr">
        <is>
          <t>Discovery Lead Gen</t>
        </is>
      </c>
      <c r="D150" s="11" t="inlineStr">
        <is>
          <t>Thabo Buthelezi</t>
        </is>
      </c>
      <c r="E150" s="10" t="n">
        <v>14</v>
      </c>
      <c r="F150" s="10" t="n">
        <v>1149</v>
      </c>
      <c r="G150" s="10" t="n">
        <v>343</v>
      </c>
      <c r="H150" s="12" t="n">
        <v>0.88</v>
      </c>
      <c r="I150" s="12" t="n">
        <v>0.74</v>
      </c>
      <c r="J150" s="12" t="n">
        <v>0.96</v>
      </c>
      <c r="K150" s="12" t="n">
        <v>0.9399999999999999</v>
      </c>
      <c r="L150" s="12" t="n">
        <v>0.06</v>
      </c>
      <c r="M150" s="12">
        <f>H150*$T$5+I150*$T$6+J150*$T$7+K150*$T$8+MIN(F150/$T$11,1)*$T$9+MIN(L150/0.3,1)*$T$10</f>
        <v/>
      </c>
      <c r="N150" s="10">
        <f>RANK(M150,$M$5:$M$154)</f>
        <v/>
      </c>
      <c r="O150" s="10">
        <f>SUMPRODUCT(($C$5:$C$154=C150)*($M$5:$M$154&gt;M150))+1</f>
        <v/>
      </c>
      <c r="P150" s="10">
        <f>ROUNDUP(N150/30,0)</f>
        <v/>
      </c>
      <c r="Q150" s="10">
        <f>IF(OR(M150&lt;0.75,H150&lt;0.8),"Coaching","On Track")</f>
        <v/>
      </c>
      <c r="R150">
        <f>C150&amp;"|"&amp;O150</f>
        <v/>
      </c>
    </row>
    <row r="151">
      <c r="A151" s="5" t="inlineStr">
        <is>
          <t>A5147</t>
        </is>
      </c>
      <c r="B151" s="6" t="inlineStr">
        <is>
          <t>Lwazi Govender</t>
        </is>
      </c>
      <c r="C151" s="6" t="inlineStr">
        <is>
          <t>Vodacom Upgrades</t>
        </is>
      </c>
      <c r="D151" s="6" t="inlineStr">
        <is>
          <t>Zanele Meyer</t>
        </is>
      </c>
      <c r="E151" s="5" t="n">
        <v>17</v>
      </c>
      <c r="F151" s="5" t="n">
        <v>957</v>
      </c>
      <c r="G151" s="5" t="n">
        <v>229</v>
      </c>
      <c r="H151" s="7" t="n">
        <v>0.74</v>
      </c>
      <c r="I151" s="7" t="n">
        <v>0.93</v>
      </c>
      <c r="J151" s="7" t="n">
        <v>0.82</v>
      </c>
      <c r="K151" s="7" t="n">
        <v>0.83</v>
      </c>
      <c r="L151" s="7" t="n">
        <v>0.11</v>
      </c>
      <c r="M151" s="7">
        <f>H151*$T$5+I151*$T$6+J151*$T$7+K151*$T$8+MIN(F151/$T$11,1)*$T$9+MIN(L151/0.3,1)*$T$10</f>
        <v/>
      </c>
      <c r="N151" s="5">
        <f>RANK(M151,$M$5:$M$154)</f>
        <v/>
      </c>
      <c r="O151" s="5">
        <f>SUMPRODUCT(($C$5:$C$154=C151)*($M$5:$M$154&gt;M151))+1</f>
        <v/>
      </c>
      <c r="P151" s="5">
        <f>ROUNDUP(N151/30,0)</f>
        <v/>
      </c>
      <c r="Q151" s="5">
        <f>IF(OR(M151&lt;0.75,H151&lt;0.8),"Coaching","On Track")</f>
        <v/>
      </c>
      <c r="R151">
        <f>C151&amp;"|"&amp;O151</f>
        <v/>
      </c>
    </row>
    <row r="152">
      <c r="A152" s="10" t="inlineStr">
        <is>
          <t>A5148</t>
        </is>
      </c>
      <c r="B152" s="11" t="inlineStr">
        <is>
          <t>Portia Nkosi</t>
        </is>
      </c>
      <c r="C152" s="11" t="inlineStr">
        <is>
          <t>DStv Upsell</t>
        </is>
      </c>
      <c r="D152" s="11" t="inlineStr">
        <is>
          <t>Anele Govender</t>
        </is>
      </c>
      <c r="E152" s="10" t="n">
        <v>24</v>
      </c>
      <c r="F152" s="10" t="n">
        <v>1922</v>
      </c>
      <c r="G152" s="10" t="n">
        <v>356</v>
      </c>
      <c r="H152" s="12" t="n">
        <v>0.87</v>
      </c>
      <c r="I152" s="12" t="n">
        <v>0.83</v>
      </c>
      <c r="J152" s="12" t="n">
        <v>0.96</v>
      </c>
      <c r="K152" s="12" t="n">
        <v>0.98</v>
      </c>
      <c r="L152" s="12" t="n">
        <v>0.07000000000000001</v>
      </c>
      <c r="M152" s="12">
        <f>H152*$T$5+I152*$T$6+J152*$T$7+K152*$T$8+MIN(F152/$T$11,1)*$T$9+MIN(L152/0.3,1)*$T$10</f>
        <v/>
      </c>
      <c r="N152" s="10">
        <f>RANK(M152,$M$5:$M$154)</f>
        <v/>
      </c>
      <c r="O152" s="10">
        <f>SUMPRODUCT(($C$5:$C$154=C152)*($M$5:$M$154&gt;M152))+1</f>
        <v/>
      </c>
      <c r="P152" s="10">
        <f>ROUNDUP(N152/30,0)</f>
        <v/>
      </c>
      <c r="Q152" s="10">
        <f>IF(OR(M152&lt;0.75,H152&lt;0.8),"Coaching","On Track")</f>
        <v/>
      </c>
      <c r="R152">
        <f>C152&amp;"|"&amp;O152</f>
        <v/>
      </c>
    </row>
    <row r="153">
      <c r="A153" s="5" t="inlineStr">
        <is>
          <t>A5149</t>
        </is>
      </c>
      <c r="B153" s="6" t="inlineStr">
        <is>
          <t>Bongani Mahlangu</t>
        </is>
      </c>
      <c r="C153" s="6" t="inlineStr">
        <is>
          <t>Shoprite Surveys</t>
        </is>
      </c>
      <c r="D153" s="6" t="inlineStr">
        <is>
          <t>Zodwa Nel</t>
        </is>
      </c>
      <c r="E153" s="5" t="n">
        <v>21</v>
      </c>
      <c r="F153" s="5" t="n">
        <v>1723</v>
      </c>
      <c r="G153" s="5" t="n">
        <v>269</v>
      </c>
      <c r="H153" s="7" t="n">
        <v>0.93</v>
      </c>
      <c r="I153" s="7" t="n">
        <v>0.83</v>
      </c>
      <c r="J153" s="7" t="n">
        <v>0.88</v>
      </c>
      <c r="K153" s="7" t="n">
        <v>0.91</v>
      </c>
      <c r="L153" s="7" t="n">
        <v>0.09</v>
      </c>
      <c r="M153" s="7">
        <f>H153*$T$5+I153*$T$6+J153*$T$7+K153*$T$8+MIN(F153/$T$11,1)*$T$9+MIN(L153/0.3,1)*$T$10</f>
        <v/>
      </c>
      <c r="N153" s="5">
        <f>RANK(M153,$M$5:$M$154)</f>
        <v/>
      </c>
      <c r="O153" s="5">
        <f>SUMPRODUCT(($C$5:$C$154=C153)*($M$5:$M$154&gt;M153))+1</f>
        <v/>
      </c>
      <c r="P153" s="5">
        <f>ROUNDUP(N153/30,0)</f>
        <v/>
      </c>
      <c r="Q153" s="5">
        <f>IF(OR(M153&lt;0.75,H153&lt;0.8),"Coaching","On Track")</f>
        <v/>
      </c>
      <c r="R153">
        <f>C153&amp;"|"&amp;O153</f>
        <v/>
      </c>
    </row>
    <row r="154">
      <c r="A154" s="10" t="inlineStr">
        <is>
          <t>A5150</t>
        </is>
      </c>
      <c r="B154" s="11" t="inlineStr">
        <is>
          <t>Keabetswe Khumalo</t>
        </is>
      </c>
      <c r="C154" s="11" t="inlineStr">
        <is>
          <t>Shoprite Surveys</t>
        </is>
      </c>
      <c r="D154" s="11" t="inlineStr">
        <is>
          <t>Precious Khumalo</t>
        </is>
      </c>
      <c r="E154" s="10" t="n">
        <v>38</v>
      </c>
      <c r="F154" s="10" t="n">
        <v>1077</v>
      </c>
      <c r="G154" s="10" t="n">
        <v>252</v>
      </c>
      <c r="H154" s="12" t="n">
        <v>0.98</v>
      </c>
      <c r="I154" s="12" t="n">
        <v>0.73</v>
      </c>
      <c r="J154" s="12" t="n">
        <v>0.88</v>
      </c>
      <c r="K154" s="12" t="n">
        <v>0.87</v>
      </c>
      <c r="L154" s="12" t="n">
        <v>0.21</v>
      </c>
      <c r="M154" s="12">
        <f>H154*$T$5+I154*$T$6+J154*$T$7+K154*$T$8+MIN(F154/$T$11,1)*$T$9+MIN(L154/0.3,1)*$T$10</f>
        <v/>
      </c>
      <c r="N154" s="10">
        <f>RANK(M154,$M$5:$M$154)</f>
        <v/>
      </c>
      <c r="O154" s="10">
        <f>SUMPRODUCT(($C$5:$C$154=C154)*($M$5:$M$154&gt;M154))+1</f>
        <v/>
      </c>
      <c r="P154" s="10">
        <f>ROUNDUP(N154/30,0)</f>
        <v/>
      </c>
      <c r="Q154" s="10">
        <f>IF(OR(M154&lt;0.75,H154&lt;0.8),"Coaching","On Track")</f>
        <v/>
      </c>
      <c r="R154">
        <f>C154&amp;"|"&amp;O154</f>
        <v/>
      </c>
    </row>
  </sheetData>
  <mergeCells count="2">
    <mergeCell ref="A2:Q2"/>
    <mergeCell ref="A1:Q1"/>
  </mergeCells>
  <conditionalFormatting sqref="M5:M154">
    <cfRule type="colorScale" priority="1">
      <colorScale>
        <cfvo type="percentile" val="10"/>
        <cfvo type="percentile" val="50"/>
        <cfvo type="percentile" val="90"/>
        <color rgb="00FFC7CE"/>
        <color rgb="00FFEB9C"/>
        <color rgb="00C6EFCE"/>
      </colorScale>
    </cfRule>
  </conditionalFormatting>
  <conditionalFormatting sqref="Q5:Q154">
    <cfRule type="cellIs" priority="2" operator="equal" dxfId="0">
      <formula>"Coaching"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9" customWidth="1" min="4" max="4"/>
    <col width="12" customWidth="1" min="5" max="5"/>
    <col width="13" customWidth="1" min="6" max="6"/>
    <col width="18" customWidth="1" min="7" max="7"/>
  </cols>
  <sheetData>
    <row r="1" ht="30" customHeight="1">
      <c r="A1" s="1" t="inlineStr">
        <is>
          <t>Performance Benchmarks by Campaign</t>
        </is>
      </c>
    </row>
    <row r="2">
      <c r="A2" s="2" t="inlineStr">
        <is>
          <t>AVERAGEIF benchmarks + top performer per campaign (INDEX/MATCH)</t>
        </is>
      </c>
    </row>
    <row r="4" ht="30" customHeight="1">
      <c r="A4" s="3" t="inlineStr">
        <is>
          <t>Campaign</t>
        </is>
      </c>
      <c r="B4" s="3" t="inlineStr">
        <is>
          <t>Agents</t>
        </is>
      </c>
      <c r="C4" s="3" t="inlineStr">
        <is>
          <t>Avg QA</t>
        </is>
      </c>
      <c r="D4" s="3" t="inlineStr">
        <is>
          <t>Avg CSAT</t>
        </is>
      </c>
      <c r="E4" s="3" t="inlineStr">
        <is>
          <t>Avg Composite</t>
        </is>
      </c>
      <c r="F4" s="3" t="inlineStr">
        <is>
          <t>Coaching Cases</t>
        </is>
      </c>
      <c r="G4" s="3" t="inlineStr">
        <is>
          <t>Top Performer</t>
        </is>
      </c>
    </row>
    <row r="5">
      <c r="A5" s="6" t="inlineStr">
        <is>
          <t>Vodacom Upgrades</t>
        </is>
      </c>
      <c r="B5" s="5">
        <f>COUNTIF('Agent Scorecard'!$C$5:$C$154,A5)</f>
        <v/>
      </c>
      <c r="C5" s="7">
        <f>AVERAGEIF('Agent Scorecard'!$C$5:$C$154,A5,'Agent Scorecard'!$H$5:$H$154)</f>
        <v/>
      </c>
      <c r="D5" s="7">
        <f>AVERAGEIF('Agent Scorecard'!$C$5:$C$154,A5,'Agent Scorecard'!$I$5:$I$154)</f>
        <v/>
      </c>
      <c r="E5" s="7">
        <f>AVERAGEIF('Agent Scorecard'!$C$5:$C$154,A5,'Agent Scorecard'!$M$5:$M$154)</f>
        <v/>
      </c>
      <c r="F5" s="5">
        <f>COUNTIFS('Agent Scorecard'!$C$5:$C$154,A5,'Agent Scorecard'!$Q$5:$Q$154,"Coaching")</f>
        <v/>
      </c>
      <c r="G5" s="6">
        <f>IFERROR(INDEX('Agent Scorecard'!$B$5:$B$154,MATCH(A5&amp;"|1",'Agent Scorecard'!$R$5:$R$154,0)),"")</f>
        <v/>
      </c>
    </row>
    <row r="6">
      <c r="A6" s="11" t="inlineStr">
        <is>
          <t>ABSA Collections</t>
        </is>
      </c>
      <c r="B6" s="10">
        <f>COUNTIF('Agent Scorecard'!$C$5:$C$154,A6)</f>
        <v/>
      </c>
      <c r="C6" s="12">
        <f>AVERAGEIF('Agent Scorecard'!$C$5:$C$154,A6,'Agent Scorecard'!$H$5:$H$154)</f>
        <v/>
      </c>
      <c r="D6" s="12">
        <f>AVERAGEIF('Agent Scorecard'!$C$5:$C$154,A6,'Agent Scorecard'!$I$5:$I$154)</f>
        <v/>
      </c>
      <c r="E6" s="12">
        <f>AVERAGEIF('Agent Scorecard'!$C$5:$C$154,A6,'Agent Scorecard'!$M$5:$M$154)</f>
        <v/>
      </c>
      <c r="F6" s="10">
        <f>COUNTIFS('Agent Scorecard'!$C$5:$C$154,A6,'Agent Scorecard'!$Q$5:$Q$154,"Coaching")</f>
        <v/>
      </c>
      <c r="G6" s="11">
        <f>IFERROR(INDEX('Agent Scorecard'!$B$5:$B$154,MATCH(A6&amp;"|1",'Agent Scorecard'!$R$5:$R$154,0)),"")</f>
        <v/>
      </c>
    </row>
    <row r="7">
      <c r="A7" s="6" t="inlineStr">
        <is>
          <t>MTN Retentions</t>
        </is>
      </c>
      <c r="B7" s="5">
        <f>COUNTIF('Agent Scorecard'!$C$5:$C$154,A7)</f>
        <v/>
      </c>
      <c r="C7" s="7">
        <f>AVERAGEIF('Agent Scorecard'!$C$5:$C$154,A7,'Agent Scorecard'!$H$5:$H$154)</f>
        <v/>
      </c>
      <c r="D7" s="7">
        <f>AVERAGEIF('Agent Scorecard'!$C$5:$C$154,A7,'Agent Scorecard'!$I$5:$I$154)</f>
        <v/>
      </c>
      <c r="E7" s="7">
        <f>AVERAGEIF('Agent Scorecard'!$C$5:$C$154,A7,'Agent Scorecard'!$M$5:$M$154)</f>
        <v/>
      </c>
      <c r="F7" s="5">
        <f>COUNTIFS('Agent Scorecard'!$C$5:$C$154,A7,'Agent Scorecard'!$Q$5:$Q$154,"Coaching")</f>
        <v/>
      </c>
      <c r="G7" s="6">
        <f>IFERROR(INDEX('Agent Scorecard'!$B$5:$B$154,MATCH(A7&amp;"|1",'Agent Scorecard'!$R$5:$R$154,0)),"")</f>
        <v/>
      </c>
    </row>
    <row r="8">
      <c r="A8" s="11" t="inlineStr">
        <is>
          <t>Takealot Care</t>
        </is>
      </c>
      <c r="B8" s="10">
        <f>COUNTIF('Agent Scorecard'!$C$5:$C$154,A8)</f>
        <v/>
      </c>
      <c r="C8" s="12">
        <f>AVERAGEIF('Agent Scorecard'!$C$5:$C$154,A8,'Agent Scorecard'!$H$5:$H$154)</f>
        <v/>
      </c>
      <c r="D8" s="12">
        <f>AVERAGEIF('Agent Scorecard'!$C$5:$C$154,A8,'Agent Scorecard'!$I$5:$I$154)</f>
        <v/>
      </c>
      <c r="E8" s="12">
        <f>AVERAGEIF('Agent Scorecard'!$C$5:$C$154,A8,'Agent Scorecard'!$M$5:$M$154)</f>
        <v/>
      </c>
      <c r="F8" s="10">
        <f>COUNTIFS('Agent Scorecard'!$C$5:$C$154,A8,'Agent Scorecard'!$Q$5:$Q$154,"Coaching")</f>
        <v/>
      </c>
      <c r="G8" s="11">
        <f>IFERROR(INDEX('Agent Scorecard'!$B$5:$B$154,MATCH(A8&amp;"|1",'Agent Scorecard'!$R$5:$R$154,0)),"")</f>
        <v/>
      </c>
    </row>
    <row r="9">
      <c r="A9" s="6" t="inlineStr">
        <is>
          <t>Telkom Tech Support</t>
        </is>
      </c>
      <c r="B9" s="5">
        <f>COUNTIF('Agent Scorecard'!$C$5:$C$154,A9)</f>
        <v/>
      </c>
      <c r="C9" s="7">
        <f>AVERAGEIF('Agent Scorecard'!$C$5:$C$154,A9,'Agent Scorecard'!$H$5:$H$154)</f>
        <v/>
      </c>
      <c r="D9" s="7">
        <f>AVERAGEIF('Agent Scorecard'!$C$5:$C$154,A9,'Agent Scorecard'!$I$5:$I$154)</f>
        <v/>
      </c>
      <c r="E9" s="7">
        <f>AVERAGEIF('Agent Scorecard'!$C$5:$C$154,A9,'Agent Scorecard'!$M$5:$M$154)</f>
        <v/>
      </c>
      <c r="F9" s="5">
        <f>COUNTIFS('Agent Scorecard'!$C$5:$C$154,A9,'Agent Scorecard'!$Q$5:$Q$154,"Coaching")</f>
        <v/>
      </c>
      <c r="G9" s="6">
        <f>IFERROR(INDEX('Agent Scorecard'!$B$5:$B$154,MATCH(A9&amp;"|1",'Agent Scorecard'!$R$5:$R$154,0)),"")</f>
        <v/>
      </c>
    </row>
    <row r="10">
      <c r="A10" s="11" t="inlineStr">
        <is>
          <t>Nedbank Debt Review</t>
        </is>
      </c>
      <c r="B10" s="10">
        <f>COUNTIF('Agent Scorecard'!$C$5:$C$154,A10)</f>
        <v/>
      </c>
      <c r="C10" s="12">
        <f>AVERAGEIF('Agent Scorecard'!$C$5:$C$154,A10,'Agent Scorecard'!$H$5:$H$154)</f>
        <v/>
      </c>
      <c r="D10" s="12">
        <f>AVERAGEIF('Agent Scorecard'!$C$5:$C$154,A10,'Agent Scorecard'!$I$5:$I$154)</f>
        <v/>
      </c>
      <c r="E10" s="12">
        <f>AVERAGEIF('Agent Scorecard'!$C$5:$C$154,A10,'Agent Scorecard'!$M$5:$M$154)</f>
        <v/>
      </c>
      <c r="F10" s="10">
        <f>COUNTIFS('Agent Scorecard'!$C$5:$C$154,A10,'Agent Scorecard'!$Q$5:$Q$154,"Coaching")</f>
        <v/>
      </c>
      <c r="G10" s="11">
        <f>IFERROR(INDEX('Agent Scorecard'!$B$5:$B$154,MATCH(A10&amp;"|1",'Agent Scorecard'!$R$5:$R$154,0)),"")</f>
        <v/>
      </c>
    </row>
    <row r="11">
      <c r="A11" s="6" t="inlineStr">
        <is>
          <t>DStv Upsell</t>
        </is>
      </c>
      <c r="B11" s="5">
        <f>COUNTIF('Agent Scorecard'!$C$5:$C$154,A11)</f>
        <v/>
      </c>
      <c r="C11" s="7">
        <f>AVERAGEIF('Agent Scorecard'!$C$5:$C$154,A11,'Agent Scorecard'!$H$5:$H$154)</f>
        <v/>
      </c>
      <c r="D11" s="7">
        <f>AVERAGEIF('Agent Scorecard'!$C$5:$C$154,A11,'Agent Scorecard'!$I$5:$I$154)</f>
        <v/>
      </c>
      <c r="E11" s="7">
        <f>AVERAGEIF('Agent Scorecard'!$C$5:$C$154,A11,'Agent Scorecard'!$M$5:$M$154)</f>
        <v/>
      </c>
      <c r="F11" s="5">
        <f>COUNTIFS('Agent Scorecard'!$C$5:$C$154,A11,'Agent Scorecard'!$Q$5:$Q$154,"Coaching")</f>
        <v/>
      </c>
      <c r="G11" s="6">
        <f>IFERROR(INDEX('Agent Scorecard'!$B$5:$B$154,MATCH(A11&amp;"|1",'Agent Scorecard'!$R$5:$R$154,0)),"")</f>
        <v/>
      </c>
    </row>
    <row r="12">
      <c r="A12" s="11" t="inlineStr">
        <is>
          <t>Discovery Lead Gen</t>
        </is>
      </c>
      <c r="B12" s="10">
        <f>COUNTIF('Agent Scorecard'!$C$5:$C$154,A12)</f>
        <v/>
      </c>
      <c r="C12" s="12">
        <f>AVERAGEIF('Agent Scorecard'!$C$5:$C$154,A12,'Agent Scorecard'!$H$5:$H$154)</f>
        <v/>
      </c>
      <c r="D12" s="12">
        <f>AVERAGEIF('Agent Scorecard'!$C$5:$C$154,A12,'Agent Scorecard'!$I$5:$I$154)</f>
        <v/>
      </c>
      <c r="E12" s="12">
        <f>AVERAGEIF('Agent Scorecard'!$C$5:$C$154,A12,'Agent Scorecard'!$M$5:$M$154)</f>
        <v/>
      </c>
      <c r="F12" s="10">
        <f>COUNTIFS('Agent Scorecard'!$C$5:$C$154,A12,'Agent Scorecard'!$Q$5:$Q$154,"Coaching")</f>
        <v/>
      </c>
      <c r="G12" s="11">
        <f>IFERROR(INDEX('Agent Scorecard'!$B$5:$B$154,MATCH(A12&amp;"|1",'Agent Scorecard'!$R$5:$R$154,0)),"")</f>
        <v/>
      </c>
    </row>
    <row r="13">
      <c r="A13" s="6" t="inlineStr">
        <is>
          <t>Cell C Winback</t>
        </is>
      </c>
      <c r="B13" s="5">
        <f>COUNTIF('Agent Scorecard'!$C$5:$C$154,A13)</f>
        <v/>
      </c>
      <c r="C13" s="7">
        <f>AVERAGEIF('Agent Scorecard'!$C$5:$C$154,A13,'Agent Scorecard'!$H$5:$H$154)</f>
        <v/>
      </c>
      <c r="D13" s="7">
        <f>AVERAGEIF('Agent Scorecard'!$C$5:$C$154,A13,'Agent Scorecard'!$I$5:$I$154)</f>
        <v/>
      </c>
      <c r="E13" s="7">
        <f>AVERAGEIF('Agent Scorecard'!$C$5:$C$154,A13,'Agent Scorecard'!$M$5:$M$154)</f>
        <v/>
      </c>
      <c r="F13" s="5">
        <f>COUNTIFS('Agent Scorecard'!$C$5:$C$154,A13,'Agent Scorecard'!$Q$5:$Q$154,"Coaching")</f>
        <v/>
      </c>
      <c r="G13" s="6">
        <f>IFERROR(INDEX('Agent Scorecard'!$B$5:$B$154,MATCH(A13&amp;"|1",'Agent Scorecard'!$R$5:$R$154,0)),"")</f>
        <v/>
      </c>
    </row>
    <row r="14">
      <c r="A14" s="11" t="inlineStr">
        <is>
          <t>OUTsurance Sales</t>
        </is>
      </c>
      <c r="B14" s="10">
        <f>COUNTIF('Agent Scorecard'!$C$5:$C$154,A14)</f>
        <v/>
      </c>
      <c r="C14" s="12">
        <f>AVERAGEIF('Agent Scorecard'!$C$5:$C$154,A14,'Agent Scorecard'!$H$5:$H$154)</f>
        <v/>
      </c>
      <c r="D14" s="12">
        <f>AVERAGEIF('Agent Scorecard'!$C$5:$C$154,A14,'Agent Scorecard'!$I$5:$I$154)</f>
        <v/>
      </c>
      <c r="E14" s="12">
        <f>AVERAGEIF('Agent Scorecard'!$C$5:$C$154,A14,'Agent Scorecard'!$M$5:$M$154)</f>
        <v/>
      </c>
      <c r="F14" s="10">
        <f>COUNTIFS('Agent Scorecard'!$C$5:$C$154,A14,'Agent Scorecard'!$Q$5:$Q$154,"Coaching")</f>
        <v/>
      </c>
      <c r="G14" s="11">
        <f>IFERROR(INDEX('Agent Scorecard'!$B$5:$B$154,MATCH(A14&amp;"|1",'Agent Scorecard'!$R$5:$R$154,0)),"")</f>
        <v/>
      </c>
    </row>
    <row r="15">
      <c r="A15" s="6" t="inlineStr">
        <is>
          <t>Standard Bank Helpdesk</t>
        </is>
      </c>
      <c r="B15" s="5">
        <f>COUNTIF('Agent Scorecard'!$C$5:$C$154,A15)</f>
        <v/>
      </c>
      <c r="C15" s="7">
        <f>AVERAGEIF('Agent Scorecard'!$C$5:$C$154,A15,'Agent Scorecard'!$H$5:$H$154)</f>
        <v/>
      </c>
      <c r="D15" s="7">
        <f>AVERAGEIF('Agent Scorecard'!$C$5:$C$154,A15,'Agent Scorecard'!$I$5:$I$154)</f>
        <v/>
      </c>
      <c r="E15" s="7">
        <f>AVERAGEIF('Agent Scorecard'!$C$5:$C$154,A15,'Agent Scorecard'!$M$5:$M$154)</f>
        <v/>
      </c>
      <c r="F15" s="5">
        <f>COUNTIFS('Agent Scorecard'!$C$5:$C$154,A15,'Agent Scorecard'!$Q$5:$Q$154,"Coaching")</f>
        <v/>
      </c>
      <c r="G15" s="6">
        <f>IFERROR(INDEX('Agent Scorecard'!$B$5:$B$154,MATCH(A15&amp;"|1",'Agent Scorecard'!$R$5:$R$154,0)),"")</f>
        <v/>
      </c>
    </row>
    <row r="16">
      <c r="A16" s="11" t="inlineStr">
        <is>
          <t>Shoprite Surveys</t>
        </is>
      </c>
      <c r="B16" s="10">
        <f>COUNTIF('Agent Scorecard'!$C$5:$C$154,A16)</f>
        <v/>
      </c>
      <c r="C16" s="12">
        <f>AVERAGEIF('Agent Scorecard'!$C$5:$C$154,A16,'Agent Scorecard'!$H$5:$H$154)</f>
        <v/>
      </c>
      <c r="D16" s="12">
        <f>AVERAGEIF('Agent Scorecard'!$C$5:$C$154,A16,'Agent Scorecard'!$I$5:$I$154)</f>
        <v/>
      </c>
      <c r="E16" s="12">
        <f>AVERAGEIF('Agent Scorecard'!$C$5:$C$154,A16,'Agent Scorecard'!$M$5:$M$154)</f>
        <v/>
      </c>
      <c r="F16" s="10">
        <f>COUNTIFS('Agent Scorecard'!$C$5:$C$154,A16,'Agent Scorecard'!$Q$5:$Q$154,"Coaching")</f>
        <v/>
      </c>
      <c r="G16" s="11">
        <f>IFERROR(INDEX('Agent Scorecard'!$B$5:$B$154,MATCH(A16&amp;"|1",'Agent Scorecard'!$R$5:$R$154,0)),"")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2026-08-08T23:43:52Z</dcterms:created>
  <dcterms:modified xmlns:dcterms="http://purl.org/dc/terms/" xmlns:xsi="http://www.w3.org/2001/XMLSchema-instance" xsi:type="dcterms:W3CDTF">2026-08-08T23:43:52Z</dcterms:modified>
</cp:coreProperties>
</file>