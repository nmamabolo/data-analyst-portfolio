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a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&quot;s&quot;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0000FF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2E5496"/>
      </patternFill>
    </fill>
    <fill>
      <patternFill patternType="solid">
        <fgColor rgb="00EAF0FA"/>
      </patternFill>
    </fill>
    <fill>
      <patternFill patternType="solid">
        <fgColor rgb="00BDD7EE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/>
    </xf>
    <xf numFmtId="3" fontId="3" fillId="6" borderId="2" pivotButton="0" quotePrefix="0" xfId="0"/>
    <xf numFmtId="164" fontId="3" fillId="6" borderId="2" pivotButton="0" quotePrefix="0" xfId="0"/>
    <xf numFmtId="166" fontId="3" fillId="6" borderId="2" pivotButton="0" quotePrefix="0" xfId="0"/>
    <xf numFmtId="0" fontId="3" fillId="6" borderId="2" pivotButton="0" quotePrefix="0" xfId="0"/>
    <xf numFmtId="165" fontId="3" fillId="6" borderId="2" pivotButton="0" quotePrefix="0" xfId="0"/>
    <xf numFmtId="0" fontId="7" fillId="7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/>
    </xf>
    <xf numFmtId="164" fontId="8" fillId="5" borderId="1" pivotButton="0" quotePrefix="0" xfId="0"/>
    <xf numFmtId="3" fontId="8" fillId="5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Forecast vs Actual Volume by Interval</a:t>
            </a:r>
          </a:p>
        </rich>
      </tx>
    </title>
    <plotArea>
      <lineChart>
        <grouping val="standard"/>
        <ser>
          <idx val="0"/>
          <order val="0"/>
          <tx>
            <strRef>
              <f>'Interval Tracker'!B6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'Interval Tracker'!$A$7:$A$30</f>
            </numRef>
          </cat>
          <val>
            <numRef>
              <f>'Interval Tracker'!$B$7:$B$30</f>
            </numRef>
          </val>
        </ser>
        <ser>
          <idx val="1"/>
          <order val="1"/>
          <tx>
            <strRef>
              <f>'Interval Tracker'!C6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'Interval Tracker'!$A$7:$A$30</f>
            </numRef>
          </cat>
          <val>
            <numRef>
              <f>'Interval Tracker'!$C$7:$C$30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Service Level % by Interval</a:t>
            </a:r>
          </a:p>
        </rich>
      </tx>
    </title>
    <plotArea>
      <lineChart>
        <grouping val="standard"/>
        <ser>
          <idx val="0"/>
          <order val="0"/>
          <tx>
            <strRef>
              <f>'Interval Tracker'!I6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'Interval Tracker'!$A$7:$A$30</f>
            </numRef>
          </cat>
          <val>
            <numRef>
              <f>'Interval Tracker'!$I$7:$I$30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14</col>
      <colOff>0</colOff>
      <row>5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22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2" customWidth="1" min="4" max="4"/>
    <col width="10" customWidth="1" min="5" max="5"/>
    <col width="9" customWidth="1" min="6" max="6"/>
    <col width="10" customWidth="1" min="7" max="7"/>
    <col width="10" customWidth="1" min="8" max="8"/>
    <col width="12" customWidth="1" min="9" max="9"/>
    <col width="9" customWidth="1" min="10" max="10"/>
    <col width="11" customWidth="1" min="11" max="11"/>
    <col width="11" customWidth="1" min="12" max="12"/>
    <col width="11" customWidth="1" min="13" max="13"/>
  </cols>
  <sheetData>
    <row r="1" ht="30" customHeight="1">
      <c r="A1" s="1" t="inlineStr">
        <is>
          <t>Intraday Interval Performance Tracker — Vodacom Upgrades, 30-min intervals</t>
        </is>
      </c>
    </row>
    <row r="2">
      <c r="A2" s="2" t="inlineStr">
        <is>
          <t>Real-time WFM view: forecast vs actual volume, staffing coverage, service level &amp; adherence per interval</t>
        </is>
      </c>
    </row>
    <row r="4">
      <c r="A4" s="3" t="inlineStr">
        <is>
          <t>AHT (sec)</t>
        </is>
      </c>
      <c r="B4" s="4" t="n">
        <v>280</v>
      </c>
      <c r="C4" s="3" t="inlineStr">
        <is>
          <t>Target Occupancy</t>
        </is>
      </c>
      <c r="D4" s="5" t="n">
        <v>0.85</v>
      </c>
      <c r="E4" s="3" t="inlineStr">
        <is>
          <t>SL Target</t>
        </is>
      </c>
      <c r="F4" s="5" t="n">
        <v>0.8</v>
      </c>
    </row>
    <row r="6" ht="30" customHeight="1">
      <c r="A6" s="6" t="inlineStr">
        <is>
          <t>Interval</t>
        </is>
      </c>
      <c r="B6" s="6" t="inlineStr">
        <is>
          <t>Forecast Vol</t>
        </is>
      </c>
      <c r="C6" s="6" t="inlineStr">
        <is>
          <t>Actual Vol</t>
        </is>
      </c>
      <c r="D6" s="6" t="inlineStr">
        <is>
          <t>Fcst Accuracy</t>
        </is>
      </c>
      <c r="E6" s="6" t="inlineStr">
        <is>
          <t>Scheduled</t>
        </is>
      </c>
      <c r="F6" s="6" t="inlineStr">
        <is>
          <t>Required</t>
        </is>
      </c>
      <c r="G6" s="6" t="inlineStr">
        <is>
          <t>Coverage</t>
        </is>
      </c>
      <c r="H6" s="6" t="inlineStr">
        <is>
          <t>Answered</t>
        </is>
      </c>
      <c r="I6" s="6" t="inlineStr">
        <is>
          <t>Service Level</t>
        </is>
      </c>
      <c r="J6" s="6" t="inlineStr">
        <is>
          <t>ASA (s)</t>
        </is>
      </c>
      <c r="K6" s="6" t="inlineStr">
        <is>
          <t>Occupancy</t>
        </is>
      </c>
      <c r="L6" s="6" t="inlineStr">
        <is>
          <t>Adherence</t>
        </is>
      </c>
      <c r="M6" s="6" t="inlineStr">
        <is>
          <t>SL Flag</t>
        </is>
      </c>
    </row>
    <row r="7">
      <c r="A7" s="7" t="inlineStr">
        <is>
          <t>08:00</t>
        </is>
      </c>
      <c r="B7" s="8" t="n">
        <v>234</v>
      </c>
      <c r="C7" s="8" t="n">
        <v>227</v>
      </c>
      <c r="D7" s="9">
        <f>C7/B7</f>
        <v/>
      </c>
      <c r="E7" s="7" t="n">
        <v>45</v>
      </c>
      <c r="F7" s="7">
        <f>ROUNDUP(C7*$B$4/1800/$D$4,0)</f>
        <v/>
      </c>
      <c r="G7" s="9">
        <f>E7/F7</f>
        <v/>
      </c>
      <c r="H7" s="8">
        <f>ROUND(C7*0.965,0)</f>
        <v/>
      </c>
      <c r="I7" s="9">
        <f>MIN(0.98,MAX(0.45,0.80+(E7/F7-1)*0.5))</f>
        <v/>
      </c>
      <c r="J7" s="10" t="n">
        <v>36</v>
      </c>
      <c r="K7" s="9" t="n">
        <v>0.895</v>
      </c>
      <c r="L7" s="9" t="n">
        <v>0.9370000000000001</v>
      </c>
      <c r="M7" s="7">
        <f>IF(I7&gt;=$F$4,"On Target","Below")</f>
        <v/>
      </c>
    </row>
    <row r="8">
      <c r="A8" s="11" t="inlineStr">
        <is>
          <t>08:30</t>
        </is>
      </c>
      <c r="B8" s="12" t="n">
        <v>286</v>
      </c>
      <c r="C8" s="12" t="n">
        <v>325</v>
      </c>
      <c r="D8" s="13">
        <f>C8/B8</f>
        <v/>
      </c>
      <c r="E8" s="11" t="n">
        <v>52</v>
      </c>
      <c r="F8" s="11">
        <f>ROUNDUP(C8*$B$4/1800/$D$4,0)</f>
        <v/>
      </c>
      <c r="G8" s="13">
        <f>E8/F8</f>
        <v/>
      </c>
      <c r="H8" s="12">
        <f>ROUND(C8*0.970,0)</f>
        <v/>
      </c>
      <c r="I8" s="13">
        <f>MIN(0.98,MAX(0.45,0.80+(E8/F8-1)*0.5))</f>
        <v/>
      </c>
      <c r="J8" s="14" t="n">
        <v>60</v>
      </c>
      <c r="K8" s="13" t="n">
        <v>0.843</v>
      </c>
      <c r="L8" s="13" t="n">
        <v>0.9409999999999999</v>
      </c>
      <c r="M8" s="11">
        <f>IF(I8&gt;=$F$4,"On Target","Below")</f>
        <v/>
      </c>
    </row>
    <row r="9">
      <c r="A9" s="7" t="inlineStr">
        <is>
          <t>09:00</t>
        </is>
      </c>
      <c r="B9" s="8" t="n">
        <v>364</v>
      </c>
      <c r="C9" s="8" t="n">
        <v>310</v>
      </c>
      <c r="D9" s="9">
        <f>C9/B9</f>
        <v/>
      </c>
      <c r="E9" s="7" t="n">
        <v>61</v>
      </c>
      <c r="F9" s="7">
        <f>ROUNDUP(C9*$B$4/1800/$D$4,0)</f>
        <v/>
      </c>
      <c r="G9" s="9">
        <f>E9/F9</f>
        <v/>
      </c>
      <c r="H9" s="8">
        <f>ROUND(C9*0.969,0)</f>
        <v/>
      </c>
      <c r="I9" s="9">
        <f>MIN(0.98,MAX(0.45,0.80+(E9/F9-1)*0.5))</f>
        <v/>
      </c>
      <c r="J9" s="10" t="n">
        <v>10</v>
      </c>
      <c r="K9" s="9" t="n">
        <v>0.853</v>
      </c>
      <c r="L9" s="9" t="n">
        <v>0.907</v>
      </c>
      <c r="M9" s="7">
        <f>IF(I9&gt;=$F$4,"On Target","Below")</f>
        <v/>
      </c>
    </row>
    <row r="10">
      <c r="A10" s="11" t="inlineStr">
        <is>
          <t>09:30</t>
        </is>
      </c>
      <c r="B10" s="12" t="n">
        <v>442</v>
      </c>
      <c r="C10" s="12" t="n">
        <v>510</v>
      </c>
      <c r="D10" s="13">
        <f>C10/B10</f>
        <v/>
      </c>
      <c r="E10" s="11" t="n">
        <v>83</v>
      </c>
      <c r="F10" s="11">
        <f>ROUNDUP(C10*$B$4/1800/$D$4,0)</f>
        <v/>
      </c>
      <c r="G10" s="13">
        <f>E10/F10</f>
        <v/>
      </c>
      <c r="H10" s="12">
        <f>ROUND(C10*0.984,0)</f>
        <v/>
      </c>
      <c r="I10" s="13">
        <f>MIN(0.98,MAX(0.45,0.80+(E10/F10-1)*0.5))</f>
        <v/>
      </c>
      <c r="J10" s="14" t="n">
        <v>48</v>
      </c>
      <c r="K10" s="13" t="n">
        <v>0.738</v>
      </c>
      <c r="L10" s="13" t="n">
        <v>0.906</v>
      </c>
      <c r="M10" s="11">
        <f>IF(I10&gt;=$F$4,"On Target","Below")</f>
        <v/>
      </c>
    </row>
    <row r="11">
      <c r="A11" s="7" t="inlineStr">
        <is>
          <t>10:00</t>
        </is>
      </c>
      <c r="B11" s="8" t="n">
        <v>494</v>
      </c>
      <c r="C11" s="8" t="n">
        <v>577</v>
      </c>
      <c r="D11" s="9">
        <f>C11/B11</f>
        <v/>
      </c>
      <c r="E11" s="7" t="n">
        <v>82</v>
      </c>
      <c r="F11" s="7">
        <f>ROUNDUP(C11*$B$4/1800/$D$4,0)</f>
        <v/>
      </c>
      <c r="G11" s="9">
        <f>E11/F11</f>
        <v/>
      </c>
      <c r="H11" s="8">
        <f>ROUND(C11*0.966,0)</f>
        <v/>
      </c>
      <c r="I11" s="9">
        <f>MIN(0.98,MAX(0.45,0.80+(E11/F11-1)*0.5))</f>
        <v/>
      </c>
      <c r="J11" s="10" t="n">
        <v>47</v>
      </c>
      <c r="K11" s="9" t="n">
        <v>0.884</v>
      </c>
      <c r="L11" s="9" t="n">
        <v>0.902</v>
      </c>
      <c r="M11" s="7">
        <f>IF(I11&gt;=$F$4,"On Target","Below")</f>
        <v/>
      </c>
    </row>
    <row r="12">
      <c r="A12" s="11" t="inlineStr">
        <is>
          <t>10:30</t>
        </is>
      </c>
      <c r="B12" s="12" t="n">
        <v>520</v>
      </c>
      <c r="C12" s="12" t="n">
        <v>528</v>
      </c>
      <c r="D12" s="13">
        <f>C12/B12</f>
        <v/>
      </c>
      <c r="E12" s="11" t="n">
        <v>108</v>
      </c>
      <c r="F12" s="11">
        <f>ROUNDUP(C12*$B$4/1800/$D$4,0)</f>
        <v/>
      </c>
      <c r="G12" s="13">
        <f>E12/F12</f>
        <v/>
      </c>
      <c r="H12" s="12">
        <f>ROUND(C12*0.969,0)</f>
        <v/>
      </c>
      <c r="I12" s="13">
        <f>MIN(0.98,MAX(0.45,0.80+(E12/F12-1)*0.5))</f>
        <v/>
      </c>
      <c r="J12" s="14" t="n">
        <v>58</v>
      </c>
      <c r="K12" s="13" t="n">
        <v>0.901</v>
      </c>
      <c r="L12" s="13" t="n">
        <v>0.949</v>
      </c>
      <c r="M12" s="11">
        <f>IF(I12&gt;=$F$4,"On Target","Below")</f>
        <v/>
      </c>
    </row>
    <row r="13">
      <c r="A13" s="7" t="inlineStr">
        <is>
          <t>11:00</t>
        </is>
      </c>
      <c r="B13" s="8" t="n">
        <v>509</v>
      </c>
      <c r="C13" s="8" t="n">
        <v>566</v>
      </c>
      <c r="D13" s="9">
        <f>C13/B13</f>
        <v/>
      </c>
      <c r="E13" s="7" t="n">
        <v>104</v>
      </c>
      <c r="F13" s="7">
        <f>ROUNDUP(C13*$B$4/1800/$D$4,0)</f>
        <v/>
      </c>
      <c r="G13" s="9">
        <f>E13/F13</f>
        <v/>
      </c>
      <c r="H13" s="8">
        <f>ROUND(C13*0.914,0)</f>
        <v/>
      </c>
      <c r="I13" s="9">
        <f>MIN(0.98,MAX(0.45,0.80+(E13/F13-1)*0.5))</f>
        <v/>
      </c>
      <c r="J13" s="10" t="n">
        <v>32</v>
      </c>
      <c r="K13" s="9" t="n">
        <v>0.862</v>
      </c>
      <c r="L13" s="9" t="n">
        <v>0.964</v>
      </c>
      <c r="M13" s="7">
        <f>IF(I13&gt;=$F$4,"On Target","Below")</f>
        <v/>
      </c>
    </row>
    <row r="14">
      <c r="A14" s="11" t="inlineStr">
        <is>
          <t>11:30</t>
        </is>
      </c>
      <c r="B14" s="12" t="n">
        <v>468</v>
      </c>
      <c r="C14" s="12" t="n">
        <v>544</v>
      </c>
      <c r="D14" s="13">
        <f>C14/B14</f>
        <v/>
      </c>
      <c r="E14" s="11" t="n">
        <v>88</v>
      </c>
      <c r="F14" s="11">
        <f>ROUNDUP(C14*$B$4/1800/$D$4,0)</f>
        <v/>
      </c>
      <c r="G14" s="13">
        <f>E14/F14</f>
        <v/>
      </c>
      <c r="H14" s="12">
        <f>ROUND(C14*0.984,0)</f>
        <v/>
      </c>
      <c r="I14" s="13">
        <f>MIN(0.98,MAX(0.45,0.80+(E14/F14-1)*0.5))</f>
        <v/>
      </c>
      <c r="J14" s="14" t="n">
        <v>14</v>
      </c>
      <c r="K14" s="13" t="n">
        <v>0.758</v>
      </c>
      <c r="L14" s="13" t="n">
        <v>0.859</v>
      </c>
      <c r="M14" s="11">
        <f>IF(I14&gt;=$F$4,"On Target","Below")</f>
        <v/>
      </c>
    </row>
    <row r="15">
      <c r="A15" s="7" t="inlineStr">
        <is>
          <t>12:00</t>
        </is>
      </c>
      <c r="B15" s="8" t="n">
        <v>390</v>
      </c>
      <c r="C15" s="8" t="n">
        <v>342</v>
      </c>
      <c r="D15" s="9">
        <f>C15/B15</f>
        <v/>
      </c>
      <c r="E15" s="7" t="n">
        <v>80</v>
      </c>
      <c r="F15" s="7">
        <f>ROUNDUP(C15*$B$4/1800/$D$4,0)</f>
        <v/>
      </c>
      <c r="G15" s="9">
        <f>E15/F15</f>
        <v/>
      </c>
      <c r="H15" s="8">
        <f>ROUND(C15*0.947,0)</f>
        <v/>
      </c>
      <c r="I15" s="9">
        <f>MIN(0.98,MAX(0.45,0.80+(E15/F15-1)*0.5))</f>
        <v/>
      </c>
      <c r="J15" s="10" t="n">
        <v>43</v>
      </c>
      <c r="K15" s="9" t="n">
        <v>0.8169999999999999</v>
      </c>
      <c r="L15" s="9" t="n">
        <v>0.835</v>
      </c>
      <c r="M15" s="7">
        <f>IF(I15&gt;=$F$4,"On Target","Below")</f>
        <v/>
      </c>
    </row>
    <row r="16">
      <c r="A16" s="11" t="inlineStr">
        <is>
          <t>12:30</t>
        </is>
      </c>
      <c r="B16" s="12" t="n">
        <v>353</v>
      </c>
      <c r="C16" s="12" t="n">
        <v>359</v>
      </c>
      <c r="D16" s="13">
        <f>C16/B16</f>
        <v/>
      </c>
      <c r="E16" s="11" t="n">
        <v>69</v>
      </c>
      <c r="F16" s="11">
        <f>ROUNDUP(C16*$B$4/1800/$D$4,0)</f>
        <v/>
      </c>
      <c r="G16" s="13">
        <f>E16/F16</f>
        <v/>
      </c>
      <c r="H16" s="12">
        <f>ROUND(C16*0.951,0)</f>
        <v/>
      </c>
      <c r="I16" s="13">
        <f>MIN(0.98,MAX(0.45,0.80+(E16/F16-1)*0.5))</f>
        <v/>
      </c>
      <c r="J16" s="14" t="n">
        <v>8</v>
      </c>
      <c r="K16" s="13" t="n">
        <v>0.911</v>
      </c>
      <c r="L16" s="13" t="n">
        <v>0.879</v>
      </c>
      <c r="M16" s="11">
        <f>IF(I16&gt;=$F$4,"On Target","Below")</f>
        <v/>
      </c>
    </row>
    <row r="17">
      <c r="A17" s="7" t="inlineStr">
        <is>
          <t>13:00</t>
        </is>
      </c>
      <c r="B17" s="8" t="n">
        <v>374</v>
      </c>
      <c r="C17" s="8" t="n">
        <v>388</v>
      </c>
      <c r="D17" s="9">
        <f>C17/B17</f>
        <v/>
      </c>
      <c r="E17" s="7" t="n">
        <v>63</v>
      </c>
      <c r="F17" s="7">
        <f>ROUNDUP(C17*$B$4/1800/$D$4,0)</f>
        <v/>
      </c>
      <c r="G17" s="9">
        <f>E17/F17</f>
        <v/>
      </c>
      <c r="H17" s="8">
        <f>ROUND(C17*0.913,0)</f>
        <v/>
      </c>
      <c r="I17" s="9">
        <f>MIN(0.98,MAX(0.45,0.80+(E17/F17-1)*0.5))</f>
        <v/>
      </c>
      <c r="J17" s="10" t="n">
        <v>22</v>
      </c>
      <c r="K17" s="9" t="n">
        <v>0.745</v>
      </c>
      <c r="L17" s="9" t="n">
        <v>0.856</v>
      </c>
      <c r="M17" s="7">
        <f>IF(I17&gt;=$F$4,"On Target","Below")</f>
        <v/>
      </c>
    </row>
    <row r="18">
      <c r="A18" s="11" t="inlineStr">
        <is>
          <t>13:30</t>
        </is>
      </c>
      <c r="B18" s="12" t="n">
        <v>416</v>
      </c>
      <c r="C18" s="12" t="n">
        <v>462</v>
      </c>
      <c r="D18" s="13">
        <f>C18/B18</f>
        <v/>
      </c>
      <c r="E18" s="11" t="n">
        <v>81</v>
      </c>
      <c r="F18" s="11">
        <f>ROUNDUP(C18*$B$4/1800/$D$4,0)</f>
        <v/>
      </c>
      <c r="G18" s="13">
        <f>E18/F18</f>
        <v/>
      </c>
      <c r="H18" s="12">
        <f>ROUND(C18*0.954,0)</f>
        <v/>
      </c>
      <c r="I18" s="13">
        <f>MIN(0.98,MAX(0.45,0.80+(E18/F18-1)*0.5))</f>
        <v/>
      </c>
      <c r="J18" s="14" t="n">
        <v>22</v>
      </c>
      <c r="K18" s="13" t="n">
        <v>0.946</v>
      </c>
      <c r="L18" s="13" t="n">
        <v>0.911</v>
      </c>
      <c r="M18" s="11">
        <f>IF(I18&gt;=$F$4,"On Target","Below")</f>
        <v/>
      </c>
    </row>
    <row r="19">
      <c r="A19" s="7" t="inlineStr">
        <is>
          <t>14:00</t>
        </is>
      </c>
      <c r="B19" s="8" t="n">
        <v>457</v>
      </c>
      <c r="C19" s="8" t="n">
        <v>443</v>
      </c>
      <c r="D19" s="9">
        <f>C19/B19</f>
        <v/>
      </c>
      <c r="E19" s="7" t="n">
        <v>92</v>
      </c>
      <c r="F19" s="7">
        <f>ROUNDUP(C19*$B$4/1800/$D$4,0)</f>
        <v/>
      </c>
      <c r="G19" s="9">
        <f>E19/F19</f>
        <v/>
      </c>
      <c r="H19" s="8">
        <f>ROUND(C19*0.948,0)</f>
        <v/>
      </c>
      <c r="I19" s="9">
        <f>MIN(0.98,MAX(0.45,0.80+(E19/F19-1)*0.5))</f>
        <v/>
      </c>
      <c r="J19" s="10" t="n">
        <v>36</v>
      </c>
      <c r="K19" s="9" t="n">
        <v>0.832</v>
      </c>
      <c r="L19" s="9" t="n">
        <v>0.903</v>
      </c>
      <c r="M19" s="7">
        <f>IF(I19&gt;=$F$4,"On Target","Below")</f>
        <v/>
      </c>
    </row>
    <row r="20">
      <c r="A20" s="11" t="inlineStr">
        <is>
          <t>14:30</t>
        </is>
      </c>
      <c r="B20" s="12" t="n">
        <v>478</v>
      </c>
      <c r="C20" s="12" t="n">
        <v>429</v>
      </c>
      <c r="D20" s="13">
        <f>C20/B20</f>
        <v/>
      </c>
      <c r="E20" s="11" t="n">
        <v>79</v>
      </c>
      <c r="F20" s="11">
        <f>ROUNDUP(C20*$B$4/1800/$D$4,0)</f>
        <v/>
      </c>
      <c r="G20" s="13">
        <f>E20/F20</f>
        <v/>
      </c>
      <c r="H20" s="12">
        <f>ROUND(C20*0.951,0)</f>
        <v/>
      </c>
      <c r="I20" s="13">
        <f>MIN(0.98,MAX(0.45,0.80+(E20/F20-1)*0.5))</f>
        <v/>
      </c>
      <c r="J20" s="14" t="n">
        <v>34</v>
      </c>
      <c r="K20" s="13" t="n">
        <v>0.901</v>
      </c>
      <c r="L20" s="13" t="n">
        <v>0.967</v>
      </c>
      <c r="M20" s="11">
        <f>IF(I20&gt;=$F$4,"On Target","Below")</f>
        <v/>
      </c>
    </row>
    <row r="21">
      <c r="A21" s="7" t="inlineStr">
        <is>
          <t>15:00</t>
        </is>
      </c>
      <c r="B21" s="8" t="n">
        <v>468</v>
      </c>
      <c r="C21" s="8" t="n">
        <v>510</v>
      </c>
      <c r="D21" s="9">
        <f>C21/B21</f>
        <v/>
      </c>
      <c r="E21" s="7" t="n">
        <v>78</v>
      </c>
      <c r="F21" s="7">
        <f>ROUNDUP(C21*$B$4/1800/$D$4,0)</f>
        <v/>
      </c>
      <c r="G21" s="9">
        <f>E21/F21</f>
        <v/>
      </c>
      <c r="H21" s="8">
        <f>ROUND(C21*0.928,0)</f>
        <v/>
      </c>
      <c r="I21" s="9">
        <f>MIN(0.98,MAX(0.45,0.80+(E21/F21-1)*0.5))</f>
        <v/>
      </c>
      <c r="J21" s="10" t="n">
        <v>14</v>
      </c>
      <c r="K21" s="9" t="n">
        <v>0.762</v>
      </c>
      <c r="L21" s="9" t="n">
        <v>0.8129999999999999</v>
      </c>
      <c r="M21" s="7">
        <f>IF(I21&gt;=$F$4,"On Target","Below")</f>
        <v/>
      </c>
    </row>
    <row r="22">
      <c r="A22" s="11" t="inlineStr">
        <is>
          <t>15:30</t>
        </is>
      </c>
      <c r="B22" s="12" t="n">
        <v>442</v>
      </c>
      <c r="C22" s="12" t="n">
        <v>481</v>
      </c>
      <c r="D22" s="13">
        <f>C22/B22</f>
        <v/>
      </c>
      <c r="E22" s="11" t="n">
        <v>84</v>
      </c>
      <c r="F22" s="11">
        <f>ROUNDUP(C22*$B$4/1800/$D$4,0)</f>
        <v/>
      </c>
      <c r="G22" s="13">
        <f>E22/F22</f>
        <v/>
      </c>
      <c r="H22" s="12">
        <f>ROUND(C22*0.963,0)</f>
        <v/>
      </c>
      <c r="I22" s="13">
        <f>MIN(0.98,MAX(0.45,0.80+(E22/F22-1)*0.5))</f>
        <v/>
      </c>
      <c r="J22" s="14" t="n">
        <v>16</v>
      </c>
      <c r="K22" s="13" t="n">
        <v>0.875</v>
      </c>
      <c r="L22" s="13" t="n">
        <v>0.899</v>
      </c>
      <c r="M22" s="11">
        <f>IF(I22&gt;=$F$4,"On Target","Below")</f>
        <v/>
      </c>
    </row>
    <row r="23">
      <c r="A23" s="7" t="inlineStr">
        <is>
          <t>16:00</t>
        </is>
      </c>
      <c r="B23" s="8" t="n">
        <v>405</v>
      </c>
      <c r="C23" s="8" t="n">
        <v>389</v>
      </c>
      <c r="D23" s="9">
        <f>C23/B23</f>
        <v/>
      </c>
      <c r="E23" s="7" t="n">
        <v>73</v>
      </c>
      <c r="F23" s="7">
        <f>ROUNDUP(C23*$B$4/1800/$D$4,0)</f>
        <v/>
      </c>
      <c r="G23" s="9">
        <f>E23/F23</f>
        <v/>
      </c>
      <c r="H23" s="8">
        <f>ROUND(C23*0.922,0)</f>
        <v/>
      </c>
      <c r="I23" s="9">
        <f>MIN(0.98,MAX(0.45,0.80+(E23/F23-1)*0.5))</f>
        <v/>
      </c>
      <c r="J23" s="10" t="n">
        <v>47</v>
      </c>
      <c r="K23" s="9" t="n">
        <v>0.742</v>
      </c>
      <c r="L23" s="9" t="n">
        <v>0.8169999999999999</v>
      </c>
      <c r="M23" s="7">
        <f>IF(I23&gt;=$F$4,"On Target","Below")</f>
        <v/>
      </c>
    </row>
    <row r="24">
      <c r="A24" s="11" t="inlineStr">
        <is>
          <t>16:30</t>
        </is>
      </c>
      <c r="B24" s="12" t="n">
        <v>364</v>
      </c>
      <c r="C24" s="12" t="n">
        <v>370</v>
      </c>
      <c r="D24" s="13">
        <f>C24/B24</f>
        <v/>
      </c>
      <c r="E24" s="11" t="n">
        <v>70</v>
      </c>
      <c r="F24" s="11">
        <f>ROUNDUP(C24*$B$4/1800/$D$4,0)</f>
        <v/>
      </c>
      <c r="G24" s="13">
        <f>E24/F24</f>
        <v/>
      </c>
      <c r="H24" s="12">
        <f>ROUND(C24*0.916,0)</f>
        <v/>
      </c>
      <c r="I24" s="13">
        <f>MIN(0.98,MAX(0.45,0.80+(E24/F24-1)*0.5))</f>
        <v/>
      </c>
      <c r="J24" s="14" t="n">
        <v>47</v>
      </c>
      <c r="K24" s="13" t="n">
        <v>0.773</v>
      </c>
      <c r="L24" s="13" t="n">
        <v>0.954</v>
      </c>
      <c r="M24" s="11">
        <f>IF(I24&gt;=$F$4,"On Target","Below")</f>
        <v/>
      </c>
    </row>
    <row r="25">
      <c r="A25" s="7" t="inlineStr">
        <is>
          <t>17:00</t>
        </is>
      </c>
      <c r="B25" s="8" t="n">
        <v>322</v>
      </c>
      <c r="C25" s="8" t="n">
        <v>314</v>
      </c>
      <c r="D25" s="9">
        <f>C25/B25</f>
        <v/>
      </c>
      <c r="E25" s="7" t="n">
        <v>65</v>
      </c>
      <c r="F25" s="7">
        <f>ROUNDUP(C25*$B$4/1800/$D$4,0)</f>
        <v/>
      </c>
      <c r="G25" s="9">
        <f>E25/F25</f>
        <v/>
      </c>
      <c r="H25" s="8">
        <f>ROUND(C25*0.946,0)</f>
        <v/>
      </c>
      <c r="I25" s="9">
        <f>MIN(0.98,MAX(0.45,0.80+(E25/F25-1)*0.5))</f>
        <v/>
      </c>
      <c r="J25" s="10" t="n">
        <v>49</v>
      </c>
      <c r="K25" s="9" t="n">
        <v>0.9429999999999999</v>
      </c>
      <c r="L25" s="9" t="n">
        <v>0.867</v>
      </c>
      <c r="M25" s="7">
        <f>IF(I25&gt;=$F$4,"On Target","Below")</f>
        <v/>
      </c>
    </row>
    <row r="26">
      <c r="A26" s="11" t="inlineStr">
        <is>
          <t>17:30</t>
        </is>
      </c>
      <c r="B26" s="12" t="n">
        <v>286</v>
      </c>
      <c r="C26" s="12" t="n">
        <v>300</v>
      </c>
      <c r="D26" s="13">
        <f>C26/B26</f>
        <v/>
      </c>
      <c r="E26" s="11" t="n">
        <v>51</v>
      </c>
      <c r="F26" s="11">
        <f>ROUNDUP(C26*$B$4/1800/$D$4,0)</f>
        <v/>
      </c>
      <c r="G26" s="13">
        <f>E26/F26</f>
        <v/>
      </c>
      <c r="H26" s="12">
        <f>ROUND(C26*0.902,0)</f>
        <v/>
      </c>
      <c r="I26" s="13">
        <f>MIN(0.98,MAX(0.45,0.80+(E26/F26-1)*0.5))</f>
        <v/>
      </c>
      <c r="J26" s="14" t="n">
        <v>40</v>
      </c>
      <c r="K26" s="13" t="n">
        <v>0.838</v>
      </c>
      <c r="L26" s="13" t="n">
        <v>0.968</v>
      </c>
      <c r="M26" s="11">
        <f>IF(I26&gt;=$F$4,"On Target","Below")</f>
        <v/>
      </c>
    </row>
    <row r="27">
      <c r="A27" s="7" t="inlineStr">
        <is>
          <t>18:00</t>
        </is>
      </c>
      <c r="B27" s="8" t="n">
        <v>249</v>
      </c>
      <c r="C27" s="8" t="n">
        <v>229</v>
      </c>
      <c r="D27" s="9">
        <f>C27/B27</f>
        <v/>
      </c>
      <c r="E27" s="7" t="n">
        <v>43</v>
      </c>
      <c r="F27" s="7">
        <f>ROUNDUP(C27*$B$4/1800/$D$4,0)</f>
        <v/>
      </c>
      <c r="G27" s="9">
        <f>E27/F27</f>
        <v/>
      </c>
      <c r="H27" s="8">
        <f>ROUND(C27*0.944,0)</f>
        <v/>
      </c>
      <c r="I27" s="9">
        <f>MIN(0.98,MAX(0.45,0.80+(E27/F27-1)*0.5))</f>
        <v/>
      </c>
      <c r="J27" s="10" t="n">
        <v>30</v>
      </c>
      <c r="K27" s="9" t="n">
        <v>0.902</v>
      </c>
      <c r="L27" s="9" t="n">
        <v>0.964</v>
      </c>
      <c r="M27" s="7">
        <f>IF(I27&gt;=$F$4,"On Target","Below")</f>
        <v/>
      </c>
    </row>
    <row r="28">
      <c r="A28" s="11" t="inlineStr">
        <is>
          <t>18:30</t>
        </is>
      </c>
      <c r="B28" s="12" t="n">
        <v>208</v>
      </c>
      <c r="C28" s="12" t="n">
        <v>219</v>
      </c>
      <c r="D28" s="13">
        <f>C28/B28</f>
        <v/>
      </c>
      <c r="E28" s="11" t="n">
        <v>40</v>
      </c>
      <c r="F28" s="11">
        <f>ROUNDUP(C28*$B$4/1800/$D$4,0)</f>
        <v/>
      </c>
      <c r="G28" s="13">
        <f>E28/F28</f>
        <v/>
      </c>
      <c r="H28" s="12">
        <f>ROUND(C28*0.958,0)</f>
        <v/>
      </c>
      <c r="I28" s="13">
        <f>MIN(0.98,MAX(0.45,0.80+(E28/F28-1)*0.5))</f>
        <v/>
      </c>
      <c r="J28" s="14" t="n">
        <v>41</v>
      </c>
      <c r="K28" s="13" t="n">
        <v>0.781</v>
      </c>
      <c r="L28" s="13" t="n">
        <v>0.873</v>
      </c>
      <c r="M28" s="11">
        <f>IF(I28&gt;=$F$4,"On Target","Below")</f>
        <v/>
      </c>
    </row>
    <row r="29">
      <c r="A29" s="7" t="inlineStr">
        <is>
          <t>19:00</t>
        </is>
      </c>
      <c r="B29" s="8" t="n">
        <v>166</v>
      </c>
      <c r="C29" s="8" t="n">
        <v>179</v>
      </c>
      <c r="D29" s="9">
        <f>C29/B29</f>
        <v/>
      </c>
      <c r="E29" s="7" t="n">
        <v>30</v>
      </c>
      <c r="F29" s="7">
        <f>ROUNDUP(C29*$B$4/1800/$D$4,0)</f>
        <v/>
      </c>
      <c r="G29" s="9">
        <f>E29/F29</f>
        <v/>
      </c>
      <c r="H29" s="8">
        <f>ROUND(C29*0.902,0)</f>
        <v/>
      </c>
      <c r="I29" s="9">
        <f>MIN(0.98,MAX(0.45,0.80+(E29/F29-1)*0.5))</f>
        <v/>
      </c>
      <c r="J29" s="10" t="n">
        <v>24</v>
      </c>
      <c r="K29" s="9" t="n">
        <v>0.863</v>
      </c>
      <c r="L29" s="9" t="n">
        <v>0.912</v>
      </c>
      <c r="M29" s="7">
        <f>IF(I29&gt;=$F$4,"On Target","Below")</f>
        <v/>
      </c>
    </row>
    <row r="30">
      <c r="A30" s="11" t="inlineStr">
        <is>
          <t>19:30</t>
        </is>
      </c>
      <c r="B30" s="12" t="n">
        <v>130</v>
      </c>
      <c r="C30" s="12" t="n">
        <v>114</v>
      </c>
      <c r="D30" s="13">
        <f>C30/B30</f>
        <v/>
      </c>
      <c r="E30" s="11" t="n">
        <v>26</v>
      </c>
      <c r="F30" s="11">
        <f>ROUNDUP(C30*$B$4/1800/$D$4,0)</f>
        <v/>
      </c>
      <c r="G30" s="13">
        <f>E30/F30</f>
        <v/>
      </c>
      <c r="H30" s="12">
        <f>ROUND(C30*0.922,0)</f>
        <v/>
      </c>
      <c r="I30" s="13">
        <f>MIN(0.98,MAX(0.45,0.80+(E30/F30-1)*0.5))</f>
        <v/>
      </c>
      <c r="J30" s="14" t="n">
        <v>16</v>
      </c>
      <c r="K30" s="13" t="n">
        <v>0.8139999999999999</v>
      </c>
      <c r="L30" s="13" t="n">
        <v>0.806</v>
      </c>
      <c r="M30" s="11">
        <f>IF(I30&gt;=$F$4,"On Target","Below")</f>
        <v/>
      </c>
    </row>
    <row r="31">
      <c r="A31" s="15" t="inlineStr">
        <is>
          <t>DAY TOTAL / AVG</t>
        </is>
      </c>
      <c r="B31" s="16">
        <f>SUM(B7:B30)</f>
        <v/>
      </c>
      <c r="C31" s="16">
        <f>SUM(C7:C30)</f>
        <v/>
      </c>
      <c r="D31" s="17">
        <f>C31/B31</f>
        <v/>
      </c>
      <c r="E31" s="18">
        <f>AVERAGE(E7:E30)</f>
        <v/>
      </c>
      <c r="F31" s="18">
        <f>AVERAGE(F7:F30)</f>
        <v/>
      </c>
      <c r="G31" s="19" t="n"/>
      <c r="H31" s="16">
        <f>SUM(H7:H30)</f>
        <v/>
      </c>
      <c r="I31" s="17">
        <f>AVERAGE(I7:I30)</f>
        <v/>
      </c>
      <c r="J31" s="20">
        <f>AVERAGE(J7:J30)</f>
        <v/>
      </c>
      <c r="K31" s="17">
        <f>AVERAGE(K7:K30)</f>
        <v/>
      </c>
      <c r="L31" s="17">
        <f>AVERAGE(L7:L30)</f>
        <v/>
      </c>
      <c r="M31" s="19" t="n"/>
    </row>
    <row r="33" ht="22" customHeight="1">
      <c r="A33" s="21" t="inlineStr">
        <is>
          <t>Day Summary</t>
        </is>
      </c>
    </row>
    <row r="34">
      <c r="A34" s="22" t="inlineStr">
        <is>
          <t>Forecast Accuracy</t>
        </is>
      </c>
      <c r="B34" s="23">
        <f>C31/B31</f>
        <v/>
      </c>
    </row>
    <row r="35">
      <c r="A35" s="22" t="inlineStr">
        <is>
          <t>Avg Service Level</t>
        </is>
      </c>
      <c r="B35" s="23">
        <f>I31</f>
        <v/>
      </c>
    </row>
    <row r="36">
      <c r="A36" s="22" t="inlineStr">
        <is>
          <t>Intervals Below SL</t>
        </is>
      </c>
      <c r="B36" s="24">
        <f>COUNTIF(M7:M30,"Below")</f>
        <v/>
      </c>
    </row>
    <row r="37">
      <c r="A37" s="22" t="inlineStr">
        <is>
          <t>Peak Interval Volume</t>
        </is>
      </c>
      <c r="B37" s="24">
        <f>MAX(C7:C30)</f>
        <v/>
      </c>
    </row>
    <row r="38">
      <c r="A38" s="22" t="inlineStr">
        <is>
          <t>Avg Adherence</t>
        </is>
      </c>
      <c r="B38" s="23">
        <f>L31</f>
        <v/>
      </c>
    </row>
    <row r="39">
      <c r="A39" s="22" t="inlineStr">
        <is>
          <t>Avg Occupancy</t>
        </is>
      </c>
      <c r="B39" s="23">
        <f>K31</f>
        <v/>
      </c>
    </row>
  </sheetData>
  <mergeCells count="3">
    <mergeCell ref="A33:F33"/>
    <mergeCell ref="A2:L2"/>
    <mergeCell ref="A1:L1"/>
  </mergeCells>
  <conditionalFormatting sqref="M7:M30">
    <cfRule type="cellIs" priority="1" operator="equal" dxfId="0">
      <formula>"Below"</formula>
    </cfRule>
    <cfRule type="cellIs" priority="2" operator="equal" dxfId="1">
      <formula>"On Target"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2026-08-08T23:51:10Z</dcterms:created>
  <dcterms:modified xmlns:dcterms="http://purl.org/dc/terms/" xmlns:xsi="http://www.w3.org/2001/XMLSchema-instance" xsi:type="dcterms:W3CDTF">2026-08-08T23:51:11Z</dcterms:modified>
</cp:coreProperties>
</file>