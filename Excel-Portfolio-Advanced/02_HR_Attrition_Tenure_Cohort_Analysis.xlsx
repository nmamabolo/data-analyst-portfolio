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tion Analysis" sheetId="1" state="visible" r:id="rId1"/>
    <sheet xmlns:r="http://schemas.openxmlformats.org/officeDocument/2006/relationships" name="Employee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"/>
    <numFmt numFmtId="166" formatCode="0.0"/>
    <numFmt numFmtId="167" formatCode="R#,##0"/>
    <numFmt numFmtId="168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1F3864"/>
      <sz val="15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3" fontId="6" fillId="4" borderId="0" applyAlignment="1" pivotButton="0" quotePrefix="0" xfId="0">
      <alignment horizontal="center" vertical="center"/>
    </xf>
    <xf numFmtId="168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/>
    </xf>
    <xf numFmtId="0" fontId="8" fillId="7" borderId="2" pivotButton="0" quotePrefix="0" xfId="0"/>
    <xf numFmtId="168" fontId="8" fillId="7" borderId="2" pivotButton="0" quotePrefix="0" xfId="0"/>
    <xf numFmtId="0" fontId="8" fillId="0" borderId="0" applyAlignment="1" pivotButton="0" quotePrefix="0" xfId="0">
      <alignment horizontal="left"/>
    </xf>
    <xf numFmtId="3" fontId="9" fillId="4" borderId="1" pivotButton="0" quotePrefix="0" xfId="0"/>
    <xf numFmtId="168" fontId="9" fillId="4" borderId="1" pivotButton="0" quotePrefix="0" xfId="0"/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by Tenure Cohort</a:t>
            </a:r>
          </a:p>
        </rich>
      </tx>
    </title>
    <plotArea>
      <pieChart>
        <varyColors val="1"/>
        <ser>
          <idx val="0"/>
          <order val="0"/>
          <tx>
            <strRef>
              <f>'Attrition Analysis'!B9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'Attrition Analysis'!$A$10:$A$13</f>
            </numRef>
          </cat>
          <val>
            <numRef>
              <f>'Attrition Analysis'!$B$10:$B$13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% by Cohort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'Attrition Analysis'!F9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'Attrition Analysis'!$A$10:$A$13</f>
            </numRef>
          </cat>
          <val>
            <numRef>
              <f>'Attrition Analysis'!$F$10:$F$13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Resignations 2026</a:t>
            </a:r>
          </a:p>
        </rich>
      </tx>
    </title>
    <plotArea>
      <lineChart>
        <grouping val="standard"/>
        <ser>
          <idx val="0"/>
          <order val="0"/>
          <tx>
            <strRef>
              <f>'Attrition Analysis'!B33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'Attrition Analysis'!$A$34:$A$40</f>
            </numRef>
          </cat>
          <val>
            <numRef>
              <f>'Attrition Analysis'!$B$34:$B$40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% by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'Attrition Analysis'!K21</f>
            </strRef>
          </tx>
          <spPr>
            <a:ln xmlns:a="http://schemas.openxmlformats.org/drawingml/2006/main">
              <a:prstDash val="solid"/>
            </a:ln>
          </spPr>
          <cat>
            <numRef>
              <f>'Attrition Analysis'!$H$22:$H$33</f>
            </numRef>
          </cat>
          <val>
            <numRef>
              <f>'Attrition Analysis'!$K$22:$K$33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43</row>
      <rowOff>0</rowOff>
    </from>
    <ext cx="36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43</row>
      <rowOff>0</rowOff>
    </from>
    <ext cx="36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43</row>
      <rowOff>0</rowOff>
    </from>
    <ext cx="36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60</row>
      <rowOff>0</rowOff>
    </from>
    <ext cx="39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0" customWidth="1" min="4" max="4"/>
    <col width="11" customWidth="1" min="5" max="5"/>
    <col width="22" customWidth="1" min="6" max="6"/>
    <col width="4" customWidth="1" min="7" max="7"/>
    <col width="16" customWidth="1" min="8" max="8"/>
    <col width="11" customWidth="1" min="9" max="9"/>
    <col width="10" customWidth="1" min="10" max="10"/>
    <col width="11" customWidth="1" min="11" max="11"/>
    <col width="6" customWidth="1" min="12" max="12"/>
    <col width="8" customWidth="1" min="13" max="13"/>
  </cols>
  <sheetData>
    <row r="1" ht="30" customHeight="1">
      <c r="A1" s="1" t="inlineStr">
        <is>
          <t>Attrition &amp; Tenure Cohort Dashboard</t>
        </is>
      </c>
    </row>
    <row r="2">
      <c r="A2" s="2" t="inlineStr">
        <is>
          <t>All figures live-linked to EmployeeMaster. Cohorts: 0-3 / 3-6 / 6-12 / 12+ months.</t>
        </is>
      </c>
    </row>
    <row r="4">
      <c r="A4" s="3" t="inlineStr">
        <is>
          <t>Total Headcount</t>
        </is>
      </c>
      <c r="C4" s="3" t="inlineStr">
        <is>
          <t>Active</t>
        </is>
      </c>
      <c r="E4" s="3" t="inlineStr">
        <is>
          <t>Resigned</t>
        </is>
      </c>
      <c r="G4" s="3" t="inlineStr">
        <is>
          <t>Attrition Rate</t>
        </is>
      </c>
      <c r="I4" s="3" t="inlineStr">
        <is>
          <t>Early Attrition (&lt;3m)</t>
        </is>
      </c>
      <c r="K4" s="3" t="inlineStr">
        <is>
          <t>Avg Tenure (mths)</t>
        </is>
      </c>
    </row>
    <row r="5">
      <c r="A5" s="4">
        <f>COUNTA(EmployeeMaster!$A$5:$A$224)</f>
        <v/>
      </c>
      <c r="C5" s="4">
        <f>COUNTIF(EmployeeMaster!$H$5:$H$224,"Active")</f>
        <v/>
      </c>
      <c r="E5" s="4">
        <f>COUNTIF(EmployeeMaster!$H$5:$H$224,"Resigned")</f>
        <v/>
      </c>
      <c r="G5" s="5">
        <f>COUNTIF(EmployeeMaster!$H$5:$H$224,"Resigned")/COUNTA(EmployeeMaster!$A$5:$A$224)</f>
        <v/>
      </c>
      <c r="I5" s="5">
        <f>COUNTIFS(EmployeeMaster!$H$5:$H$224,"Resigned",EmployeeMaster!$L$5:$L$224,"0-3 months")/COUNTIF(EmployeeMaster!$H$5:$H$224,"Resigned")</f>
        <v/>
      </c>
      <c r="K5" s="6">
        <f>AVERAGE(EmployeeMaster!$K$5:$K$224)</f>
        <v/>
      </c>
    </row>
    <row r="6"/>
    <row r="8" ht="22" customHeight="1">
      <c r="A8" s="7" t="inlineStr">
        <is>
          <t>1  |  Headcount by Tenure Cohort</t>
        </is>
      </c>
      <c r="H8" s="7" t="inlineStr">
        <is>
          <t>4  |  Attrition by Department</t>
        </is>
      </c>
    </row>
    <row r="9" ht="30" customHeight="1">
      <c r="A9" s="8" t="inlineStr">
        <is>
          <t>Tenure Cohort</t>
        </is>
      </c>
      <c r="B9" s="8" t="inlineStr">
        <is>
          <t>Headcount</t>
        </is>
      </c>
      <c r="C9" s="8" t="inlineStr">
        <is>
          <t>% of Total</t>
        </is>
      </c>
      <c r="D9" s="8" t="inlineStr">
        <is>
          <t>Active</t>
        </is>
      </c>
      <c r="E9" s="8" t="inlineStr">
        <is>
          <t>Resigned</t>
        </is>
      </c>
      <c r="F9" s="8" t="inlineStr">
        <is>
          <t>Attrition % (in cohort)</t>
        </is>
      </c>
      <c r="H9" s="8" t="inlineStr">
        <is>
          <t>Department</t>
        </is>
      </c>
      <c r="I9" s="8" t="inlineStr">
        <is>
          <t>Headcount</t>
        </is>
      </c>
      <c r="J9" s="8" t="inlineStr">
        <is>
          <t>Resigned</t>
        </is>
      </c>
      <c r="K9" s="8" t="inlineStr">
        <is>
          <t>Attrition %</t>
        </is>
      </c>
    </row>
    <row r="10">
      <c r="A10" s="9" t="inlineStr">
        <is>
          <t>0-3 months</t>
        </is>
      </c>
      <c r="B10" s="10">
        <f>COUNTIF(EmployeeMaster!$L$5:$L$224,A10)</f>
        <v/>
      </c>
      <c r="C10" s="11">
        <f>B10/$B$4</f>
        <v/>
      </c>
      <c r="D10" s="10">
        <f>COUNTIFS(EmployeeMaster!$L$5:$L$224,A10,EmployeeMaster!$H$5:$H$224,"Active")</f>
        <v/>
      </c>
      <c r="E10" s="10">
        <f>COUNTIFS(EmployeeMaster!$L$5:$L$224,A10,EmployeeMaster!$H$5:$H$224,"Resigned")</f>
        <v/>
      </c>
      <c r="F10" s="11">
        <f>IFERROR(E10/B10,0)</f>
        <v/>
      </c>
      <c r="H10" s="9" t="inlineStr">
        <is>
          <t>Operations</t>
        </is>
      </c>
      <c r="I10" s="10">
        <f>COUNTIF(EmployeeMaster!$D$5:$D$224,H10)</f>
        <v/>
      </c>
      <c r="J10" s="10">
        <f>COUNTIFS(EmployeeMaster!$D$5:$D$224,H10,EmployeeMaster!$H$5:$H$224,"Resigned")</f>
        <v/>
      </c>
      <c r="K10" s="11">
        <f>IFERROR(J10/I10,0)</f>
        <v/>
      </c>
    </row>
    <row r="11">
      <c r="A11" s="12" t="inlineStr">
        <is>
          <t>3-6 months</t>
        </is>
      </c>
      <c r="B11" s="13">
        <f>COUNTIF(EmployeeMaster!$L$5:$L$224,A11)</f>
        <v/>
      </c>
      <c r="C11" s="14">
        <f>B11/$B$4</f>
        <v/>
      </c>
      <c r="D11" s="13">
        <f>COUNTIFS(EmployeeMaster!$L$5:$L$224,A11,EmployeeMaster!$H$5:$H$224,"Active")</f>
        <v/>
      </c>
      <c r="E11" s="13">
        <f>COUNTIFS(EmployeeMaster!$L$5:$L$224,A11,EmployeeMaster!$H$5:$H$224,"Resigned")</f>
        <v/>
      </c>
      <c r="F11" s="14">
        <f>IFERROR(E11/B11,0)</f>
        <v/>
      </c>
      <c r="H11" s="12" t="inlineStr">
        <is>
          <t>Customer Care</t>
        </is>
      </c>
      <c r="I11" s="13">
        <f>COUNTIF(EmployeeMaster!$D$5:$D$224,H11)</f>
        <v/>
      </c>
      <c r="J11" s="13">
        <f>COUNTIFS(EmployeeMaster!$D$5:$D$224,H11,EmployeeMaster!$H$5:$H$224,"Resigned")</f>
        <v/>
      </c>
      <c r="K11" s="14">
        <f>IFERROR(J11/I11,0)</f>
        <v/>
      </c>
    </row>
    <row r="12">
      <c r="A12" s="9" t="inlineStr">
        <is>
          <t>6-12 months</t>
        </is>
      </c>
      <c r="B12" s="10">
        <f>COUNTIF(EmployeeMaster!$L$5:$L$224,A12)</f>
        <v/>
      </c>
      <c r="C12" s="11">
        <f>B12/$B$4</f>
        <v/>
      </c>
      <c r="D12" s="10">
        <f>COUNTIFS(EmployeeMaster!$L$5:$L$224,A12,EmployeeMaster!$H$5:$H$224,"Active")</f>
        <v/>
      </c>
      <c r="E12" s="10">
        <f>COUNTIFS(EmployeeMaster!$L$5:$L$224,A12,EmployeeMaster!$H$5:$H$224,"Resigned")</f>
        <v/>
      </c>
      <c r="F12" s="11">
        <f>IFERROR(E12/B12,0)</f>
        <v/>
      </c>
      <c r="H12" s="9" t="inlineStr">
        <is>
          <t>Sales</t>
        </is>
      </c>
      <c r="I12" s="10">
        <f>COUNTIF(EmployeeMaster!$D$5:$D$224,H12)</f>
        <v/>
      </c>
      <c r="J12" s="10">
        <f>COUNTIFS(EmployeeMaster!$D$5:$D$224,H12,EmployeeMaster!$H$5:$H$224,"Resigned")</f>
        <v/>
      </c>
      <c r="K12" s="11">
        <f>IFERROR(J12/I12,0)</f>
        <v/>
      </c>
    </row>
    <row r="13">
      <c r="A13" s="12" t="inlineStr">
        <is>
          <t>12+ months</t>
        </is>
      </c>
      <c r="B13" s="13">
        <f>COUNTIF(EmployeeMaster!$L$5:$L$224,A13)</f>
        <v/>
      </c>
      <c r="C13" s="14">
        <f>B13/$B$4</f>
        <v/>
      </c>
      <c r="D13" s="13">
        <f>COUNTIFS(EmployeeMaster!$L$5:$L$224,A13,EmployeeMaster!$H$5:$H$224,"Active")</f>
        <v/>
      </c>
      <c r="E13" s="13">
        <f>COUNTIFS(EmployeeMaster!$L$5:$L$224,A13,EmployeeMaster!$H$5:$H$224,"Resigned")</f>
        <v/>
      </c>
      <c r="F13" s="14">
        <f>IFERROR(E13/B13,0)</f>
        <v/>
      </c>
      <c r="H13" s="12" t="inlineStr">
        <is>
          <t>IT Support</t>
        </is>
      </c>
      <c r="I13" s="13">
        <f>COUNTIF(EmployeeMaster!$D$5:$D$224,H13)</f>
        <v/>
      </c>
      <c r="J13" s="13">
        <f>COUNTIFS(EmployeeMaster!$D$5:$D$224,H13,EmployeeMaster!$H$5:$H$224,"Resigned")</f>
        <v/>
      </c>
      <c r="K13" s="14">
        <f>IFERROR(J13/I13,0)</f>
        <v/>
      </c>
    </row>
    <row r="14">
      <c r="A14" s="15" t="inlineStr">
        <is>
          <t>TOTAL</t>
        </is>
      </c>
      <c r="B14" s="16">
        <f>SUM(B10:B13)</f>
        <v/>
      </c>
      <c r="C14" s="17">
        <f>SUM(C10:C13)</f>
        <v/>
      </c>
      <c r="D14" s="16">
        <f>SUM(D10:D13)</f>
        <v/>
      </c>
      <c r="E14" s="16">
        <f>SUM(E10:E13)</f>
        <v/>
      </c>
      <c r="F14" s="17">
        <f>IFERROR(E14/B14,0)</f>
        <v/>
      </c>
      <c r="H14" s="9" t="inlineStr">
        <is>
          <t>Admin</t>
        </is>
      </c>
      <c r="I14" s="10">
        <f>COUNTIF(EmployeeMaster!$D$5:$D$224,H14)</f>
        <v/>
      </c>
      <c r="J14" s="10">
        <f>COUNTIFS(EmployeeMaster!$D$5:$D$224,H14,EmployeeMaster!$H$5:$H$224,"Resigned")</f>
        <v/>
      </c>
      <c r="K14" s="11">
        <f>IFERROR(J14/I14,0)</f>
        <v/>
      </c>
    </row>
    <row r="15">
      <c r="H15" s="12" t="inlineStr">
        <is>
          <t>Quality</t>
        </is>
      </c>
      <c r="I15" s="13">
        <f>COUNTIF(EmployeeMaster!$D$5:$D$224,H15)</f>
        <v/>
      </c>
      <c r="J15" s="13">
        <f>COUNTIFS(EmployeeMaster!$D$5:$D$224,H15,EmployeeMaster!$H$5:$H$224,"Resigned")</f>
        <v/>
      </c>
      <c r="K15" s="14">
        <f>IFERROR(J15/I15,0)</f>
        <v/>
      </c>
    </row>
    <row r="16" ht="22" customHeight="1">
      <c r="A16" s="7" t="inlineStr">
        <is>
          <t>2  |  Gender × Tenure Cohort  (headcount, and % female within cohort)</t>
        </is>
      </c>
      <c r="H16" s="9" t="inlineStr">
        <is>
          <t>Team Leaders</t>
        </is>
      </c>
      <c r="I16" s="10">
        <f>COUNTIF(EmployeeMaster!$D$5:$D$224,H16)</f>
        <v/>
      </c>
      <c r="J16" s="10">
        <f>COUNTIFS(EmployeeMaster!$D$5:$D$224,H16,EmployeeMaster!$H$5:$H$224,"Resigned")</f>
        <v/>
      </c>
      <c r="K16" s="11">
        <f>IFERROR(J16/I16,0)</f>
        <v/>
      </c>
    </row>
    <row r="17" ht="30" customHeight="1">
      <c r="A17" s="8" t="inlineStr">
        <is>
          <t>Tenure Cohort</t>
        </is>
      </c>
      <c r="B17" s="8" t="inlineStr">
        <is>
          <t>Female</t>
        </is>
      </c>
      <c r="C17" s="8" t="inlineStr">
        <is>
          <t>Male</t>
        </is>
      </c>
      <c r="D17" s="8" t="inlineStr">
        <is>
          <t>Total</t>
        </is>
      </c>
      <c r="E17" s="8" t="inlineStr">
        <is>
          <t>% Female</t>
        </is>
      </c>
      <c r="F17" s="8" t="inlineStr">
        <is>
          <t>% of Females Still Active</t>
        </is>
      </c>
      <c r="H17" s="12" t="inlineStr">
        <is>
          <t>Training</t>
        </is>
      </c>
      <c r="I17" s="13">
        <f>COUNTIF(EmployeeMaster!$D$5:$D$224,H17)</f>
        <v/>
      </c>
      <c r="J17" s="13">
        <f>COUNTIFS(EmployeeMaster!$D$5:$D$224,H17,EmployeeMaster!$H$5:$H$224,"Resigned")</f>
        <v/>
      </c>
      <c r="K17" s="14">
        <f>IFERROR(J17/I17,0)</f>
        <v/>
      </c>
    </row>
    <row r="18">
      <c r="A18" s="9" t="inlineStr">
        <is>
          <t>0-3 months</t>
        </is>
      </c>
      <c r="B18" s="10">
        <f>COUNTIFS(EmployeeMaster!$L$5:$L$224,A18,EmployeeMaster!$C$5:$C$224,"Female")</f>
        <v/>
      </c>
      <c r="C18" s="10">
        <f>COUNTIFS(EmployeeMaster!$L$5:$L$224,A18,EmployeeMaster!$C$5:$C$224,"Male")</f>
        <v/>
      </c>
      <c r="D18" s="10">
        <f>B18+C18</f>
        <v/>
      </c>
      <c r="E18" s="11">
        <f>IFERROR(B18/D18,0)</f>
        <v/>
      </c>
      <c r="F18" s="11">
        <f>IFERROR(COUNTIFS(EmployeeMaster!$L$5:$L$224,A18,EmployeeMaster!$C$5:$C$224,"Female",EmployeeMaster!$H$5:$H$224,"Active")/B18,0)</f>
        <v/>
      </c>
    </row>
    <row r="19">
      <c r="A19" s="12" t="inlineStr">
        <is>
          <t>3-6 months</t>
        </is>
      </c>
      <c r="B19" s="13">
        <f>COUNTIFS(EmployeeMaster!$L$5:$L$224,A19,EmployeeMaster!$C$5:$C$224,"Female")</f>
        <v/>
      </c>
      <c r="C19" s="13">
        <f>COUNTIFS(EmployeeMaster!$L$5:$L$224,A19,EmployeeMaster!$C$5:$C$224,"Male")</f>
        <v/>
      </c>
      <c r="D19" s="13">
        <f>B19+C19</f>
        <v/>
      </c>
      <c r="E19" s="14">
        <f>IFERROR(B19/D19,0)</f>
        <v/>
      </c>
      <c r="F19" s="14">
        <f>IFERROR(COUNTIFS(EmployeeMaster!$L$5:$L$224,A19,EmployeeMaster!$C$5:$C$224,"Female",EmployeeMaster!$H$5:$H$224,"Active")/B19,0)</f>
        <v/>
      </c>
    </row>
    <row r="20" ht="22" customHeight="1">
      <c r="A20" s="9" t="inlineStr">
        <is>
          <t>6-12 months</t>
        </is>
      </c>
      <c r="B20" s="10">
        <f>COUNTIFS(EmployeeMaster!$L$5:$L$224,A20,EmployeeMaster!$C$5:$C$224,"Female")</f>
        <v/>
      </c>
      <c r="C20" s="10">
        <f>COUNTIFS(EmployeeMaster!$L$5:$L$224,A20,EmployeeMaster!$C$5:$C$224,"Male")</f>
        <v/>
      </c>
      <c r="D20" s="10">
        <f>B20+C20</f>
        <v/>
      </c>
      <c r="E20" s="11">
        <f>IFERROR(B20/D20,0)</f>
        <v/>
      </c>
      <c r="F20" s="11">
        <f>IFERROR(COUNTIFS(EmployeeMaster!$L$5:$L$224,A20,EmployeeMaster!$C$5:$C$224,"Female",EmployeeMaster!$H$5:$H$224,"Active")/B20,0)</f>
        <v/>
      </c>
      <c r="H20" s="7" t="inlineStr">
        <is>
          <t>5  |  Attrition by Campaign</t>
        </is>
      </c>
    </row>
    <row r="21" ht="30" customHeight="1">
      <c r="A21" s="12" t="inlineStr">
        <is>
          <t>12+ months</t>
        </is>
      </c>
      <c r="B21" s="13">
        <f>COUNTIFS(EmployeeMaster!$L$5:$L$224,A21,EmployeeMaster!$C$5:$C$224,"Female")</f>
        <v/>
      </c>
      <c r="C21" s="13">
        <f>COUNTIFS(EmployeeMaster!$L$5:$L$224,A21,EmployeeMaster!$C$5:$C$224,"Male")</f>
        <v/>
      </c>
      <c r="D21" s="13">
        <f>B21+C21</f>
        <v/>
      </c>
      <c r="E21" s="14">
        <f>IFERROR(B21/D21,0)</f>
        <v/>
      </c>
      <c r="F21" s="14">
        <f>IFERROR(COUNTIFS(EmployeeMaster!$L$5:$L$224,A21,EmployeeMaster!$C$5:$C$224,"Female",EmployeeMaster!$H$5:$H$224,"Active")/B21,0)</f>
        <v/>
      </c>
      <c r="H21" s="8" t="inlineStr">
        <is>
          <t>Campaign</t>
        </is>
      </c>
      <c r="I21" s="8" t="inlineStr">
        <is>
          <t>Headcount</t>
        </is>
      </c>
      <c r="J21" s="8" t="inlineStr">
        <is>
          <t>Resigned</t>
        </is>
      </c>
      <c r="K21" s="8" t="inlineStr">
        <is>
          <t>Attrition %</t>
        </is>
      </c>
    </row>
    <row r="22">
      <c r="A22" s="15" t="inlineStr">
        <is>
          <t>TOTAL</t>
        </is>
      </c>
      <c r="B22" s="16">
        <f>SUM(B18:B21)</f>
        <v/>
      </c>
      <c r="C22" s="16">
        <f>SUM(C18:C21)</f>
        <v/>
      </c>
      <c r="D22" s="16">
        <f>SUM(D18:D21)</f>
        <v/>
      </c>
      <c r="E22" s="17">
        <f>IFERROR(B22/D22,0)</f>
        <v/>
      </c>
      <c r="F22" s="17">
        <f>IFERROR(COUNTIFS(EmployeeMaster!$C$5:$C$224,"Female",EmployeeMaster!$H$5:$H$224,"Active")/COUNTIF(EmployeeMaster!$C$5:$C$224,"Female"),0)</f>
        <v/>
      </c>
      <c r="H22" s="9" t="inlineStr">
        <is>
          <t>Vodacom Upgrades</t>
        </is>
      </c>
      <c r="I22" s="10">
        <f>COUNTIF(EmployeeMaster!$E$5:$E$224,H22)</f>
        <v/>
      </c>
      <c r="J22" s="10">
        <f>COUNTIFS(EmployeeMaster!$E$5:$E$224,H22,EmployeeMaster!$H$5:$H$224,"Resigned")</f>
        <v/>
      </c>
      <c r="K22" s="11">
        <f>IFERROR(J22/I22,0)</f>
        <v/>
      </c>
    </row>
    <row r="23">
      <c r="H23" s="12" t="inlineStr">
        <is>
          <t>ABSA Collections</t>
        </is>
      </c>
      <c r="I23" s="13">
        <f>COUNTIF(EmployeeMaster!$E$5:$E$224,H23)</f>
        <v/>
      </c>
      <c r="J23" s="13">
        <f>COUNTIFS(EmployeeMaster!$E$5:$E$224,H23,EmployeeMaster!$H$5:$H$224,"Resigned")</f>
        <v/>
      </c>
      <c r="K23" s="14">
        <f>IFERROR(J23/I23,0)</f>
        <v/>
      </c>
    </row>
    <row r="24" ht="22" customHeight="1">
      <c r="A24" s="7" t="inlineStr">
        <is>
          <t>3  |  Gender Snapshot</t>
        </is>
      </c>
      <c r="H24" s="9" t="inlineStr">
        <is>
          <t>MTN Retentions</t>
        </is>
      </c>
      <c r="I24" s="10">
        <f>COUNTIF(EmployeeMaster!$E$5:$E$224,H24)</f>
        <v/>
      </c>
      <c r="J24" s="10">
        <f>COUNTIFS(EmployeeMaster!$E$5:$E$224,H24,EmployeeMaster!$H$5:$H$224,"Resigned")</f>
        <v/>
      </c>
      <c r="K24" s="11">
        <f>IFERROR(J24/I24,0)</f>
        <v/>
      </c>
    </row>
    <row r="25">
      <c r="A25" s="18" t="inlineStr">
        <is>
          <t>Total Females</t>
        </is>
      </c>
      <c r="B25" s="19">
        <f>COUNTIF(EmployeeMaster!$C$5:$C$224,"Female")</f>
        <v/>
      </c>
      <c r="H25" s="12" t="inlineStr">
        <is>
          <t>Takealot Care</t>
        </is>
      </c>
      <c r="I25" s="13">
        <f>COUNTIF(EmployeeMaster!$E$5:$E$224,H25)</f>
        <v/>
      </c>
      <c r="J25" s="13">
        <f>COUNTIFS(EmployeeMaster!$E$5:$E$224,H25,EmployeeMaster!$H$5:$H$224,"Resigned")</f>
        <v/>
      </c>
      <c r="K25" s="14">
        <f>IFERROR(J25/I25,0)</f>
        <v/>
      </c>
    </row>
    <row r="26">
      <c r="A26" s="18" t="inlineStr">
        <is>
          <t>Females Still Active</t>
        </is>
      </c>
      <c r="B26" s="19">
        <f>COUNTIFS(EmployeeMaster!$C$5:$C$224,"Female",EmployeeMaster!$H$5:$H$224,"Active")</f>
        <v/>
      </c>
      <c r="H26" s="9" t="inlineStr">
        <is>
          <t>Telkom Tech Support</t>
        </is>
      </c>
      <c r="I26" s="10">
        <f>COUNTIF(EmployeeMaster!$E$5:$E$224,H26)</f>
        <v/>
      </c>
      <c r="J26" s="10">
        <f>COUNTIFS(EmployeeMaster!$E$5:$E$224,H26,EmployeeMaster!$H$5:$H$224,"Resigned")</f>
        <v/>
      </c>
      <c r="K26" s="11">
        <f>IFERROR(J26/I26,0)</f>
        <v/>
      </c>
    </row>
    <row r="27">
      <c r="A27" s="18" t="inlineStr">
        <is>
          <t>% of Workforce Female</t>
        </is>
      </c>
      <c r="B27" s="20">
        <f>COUNTIF(EmployeeMaster!$C$5:$C$224,"Female")/COUNTA(EmployeeMaster!$A$5:$A$224)</f>
        <v/>
      </c>
      <c r="H27" s="12" t="inlineStr">
        <is>
          <t>Nedbank Debt Review</t>
        </is>
      </c>
      <c r="I27" s="13">
        <f>COUNTIF(EmployeeMaster!$E$5:$E$224,H27)</f>
        <v/>
      </c>
      <c r="J27" s="13">
        <f>COUNTIFS(EmployeeMaster!$E$5:$E$224,H27,EmployeeMaster!$H$5:$H$224,"Resigned")</f>
        <v/>
      </c>
      <c r="K27" s="14">
        <f>IFERROR(J27/I27,0)</f>
        <v/>
      </c>
    </row>
    <row r="28">
      <c r="A28" s="18" t="inlineStr">
        <is>
          <t>% of Females Still Employed</t>
        </is>
      </c>
      <c r="B28" s="20">
        <f>COUNTIFS(EmployeeMaster!$C$5:$C$224,"Female",EmployeeMaster!$H$5:$H$224,"Active")/COUNTIF(EmployeeMaster!$C$5:$C$224,"Female")</f>
        <v/>
      </c>
      <c r="H28" s="9" t="inlineStr">
        <is>
          <t>DStv Upsell</t>
        </is>
      </c>
      <c r="I28" s="10">
        <f>COUNTIF(EmployeeMaster!$E$5:$E$224,H28)</f>
        <v/>
      </c>
      <c r="J28" s="10">
        <f>COUNTIFS(EmployeeMaster!$E$5:$E$224,H28,EmployeeMaster!$H$5:$H$224,"Resigned")</f>
        <v/>
      </c>
      <c r="K28" s="11">
        <f>IFERROR(J28/I28,0)</f>
        <v/>
      </c>
    </row>
    <row r="29">
      <c r="A29" s="18" t="inlineStr">
        <is>
          <t>Female Attrition Rate</t>
        </is>
      </c>
      <c r="B29" s="20">
        <f>COUNTIFS(EmployeeMaster!$C$5:$C$224,"Female",EmployeeMaster!$H$5:$H$224,"Resigned")/COUNTIF(EmployeeMaster!$C$5:$C$224,"Female")</f>
        <v/>
      </c>
      <c r="H29" s="12" t="inlineStr">
        <is>
          <t>Discovery Lead Gen</t>
        </is>
      </c>
      <c r="I29" s="13">
        <f>COUNTIF(EmployeeMaster!$E$5:$E$224,H29)</f>
        <v/>
      </c>
      <c r="J29" s="13">
        <f>COUNTIFS(EmployeeMaster!$E$5:$E$224,H29,EmployeeMaster!$H$5:$H$224,"Resigned")</f>
        <v/>
      </c>
      <c r="K29" s="14">
        <f>IFERROR(J29/I29,0)</f>
        <v/>
      </c>
    </row>
    <row r="30">
      <c r="A30" s="18" t="inlineStr">
        <is>
          <t>Male Attrition Rate</t>
        </is>
      </c>
      <c r="B30" s="20">
        <f>COUNTIFS(EmployeeMaster!$C$5:$C$224,"Male",EmployeeMaster!$H$5:$H$224,"Resigned")/COUNTIF(EmployeeMaster!$C$5:$C$224,"Male")</f>
        <v/>
      </c>
      <c r="H30" s="9" t="inlineStr">
        <is>
          <t>Cell C Winback</t>
        </is>
      </c>
      <c r="I30" s="10">
        <f>COUNTIF(EmployeeMaster!$E$5:$E$224,H30)</f>
        <v/>
      </c>
      <c r="J30" s="10">
        <f>COUNTIFS(EmployeeMaster!$E$5:$E$224,H30,EmployeeMaster!$H$5:$H$224,"Resigned")</f>
        <v/>
      </c>
      <c r="K30" s="11">
        <f>IFERROR(J30/I30,0)</f>
        <v/>
      </c>
    </row>
    <row r="31">
      <c r="H31" s="12" t="inlineStr">
        <is>
          <t>OUTsurance Sales</t>
        </is>
      </c>
      <c r="I31" s="13">
        <f>COUNTIF(EmployeeMaster!$E$5:$E$224,H31)</f>
        <v/>
      </c>
      <c r="J31" s="13">
        <f>COUNTIFS(EmployeeMaster!$E$5:$E$224,H31,EmployeeMaster!$H$5:$H$224,"Resigned")</f>
        <v/>
      </c>
      <c r="K31" s="14">
        <f>IFERROR(J31/I31,0)</f>
        <v/>
      </c>
    </row>
    <row r="32" ht="22" customHeight="1">
      <c r="A32" s="7" t="inlineStr">
        <is>
          <t>6  |  Monthly Resignation Trend (2026)</t>
        </is>
      </c>
      <c r="H32" s="9" t="inlineStr">
        <is>
          <t>Standard Bank Helpdesk</t>
        </is>
      </c>
      <c r="I32" s="10">
        <f>COUNTIF(EmployeeMaster!$E$5:$E$224,H32)</f>
        <v/>
      </c>
      <c r="J32" s="10">
        <f>COUNTIFS(EmployeeMaster!$E$5:$E$224,H32,EmployeeMaster!$H$5:$H$224,"Resigned")</f>
        <v/>
      </c>
      <c r="K32" s="11">
        <f>IFERROR(J32/I32,0)</f>
        <v/>
      </c>
    </row>
    <row r="33" ht="30" customHeight="1">
      <c r="A33" s="8" t="inlineStr">
        <is>
          <t>Month</t>
        </is>
      </c>
      <c r="B33" s="8" t="inlineStr">
        <is>
          <t>Resignations</t>
        </is>
      </c>
      <c r="H33" s="12" t="inlineStr">
        <is>
          <t>Shoprite Surveys</t>
        </is>
      </c>
      <c r="I33" s="13">
        <f>COUNTIF(EmployeeMaster!$E$5:$E$224,H33)</f>
        <v/>
      </c>
      <c r="J33" s="13">
        <f>COUNTIFS(EmployeeMaster!$E$5:$E$224,H33,EmployeeMaster!$H$5:$H$224,"Resigned")</f>
        <v/>
      </c>
      <c r="K33" s="14">
        <f>IFERROR(J33/I33,0)</f>
        <v/>
      </c>
    </row>
    <row r="34">
      <c r="A34" s="9" t="inlineStr">
        <is>
          <t>Jan</t>
        </is>
      </c>
      <c r="B34" s="10">
        <f>COUNTIFS(EmployeeMaster!$I$5:$I$224,"&gt;="&amp;DATE(2026,1,1),EmployeeMaster!$I$5:$I$224,"&lt;"&amp;DATE(2026,2,1))</f>
        <v/>
      </c>
    </row>
    <row r="35">
      <c r="A35" s="12" t="inlineStr">
        <is>
          <t>Feb</t>
        </is>
      </c>
      <c r="B35" s="13">
        <f>COUNTIFS(EmployeeMaster!$I$5:$I$224,"&gt;="&amp;DATE(2026,2,1),EmployeeMaster!$I$5:$I$224,"&lt;"&amp;DATE(2026,3,1))</f>
        <v/>
      </c>
    </row>
    <row r="36">
      <c r="A36" s="9" t="inlineStr">
        <is>
          <t>Mar</t>
        </is>
      </c>
      <c r="B36" s="10">
        <f>COUNTIFS(EmployeeMaster!$I$5:$I$224,"&gt;="&amp;DATE(2026,3,1),EmployeeMaster!$I$5:$I$224,"&lt;"&amp;DATE(2026,4,1))</f>
        <v/>
      </c>
    </row>
    <row r="37">
      <c r="A37" s="12" t="inlineStr">
        <is>
          <t>Apr</t>
        </is>
      </c>
      <c r="B37" s="13">
        <f>COUNTIFS(EmployeeMaster!$I$5:$I$224,"&gt;="&amp;DATE(2026,4,1),EmployeeMaster!$I$5:$I$224,"&lt;"&amp;DATE(2026,5,1))</f>
        <v/>
      </c>
    </row>
    <row r="38">
      <c r="A38" s="9" t="inlineStr">
        <is>
          <t>May</t>
        </is>
      </c>
      <c r="B38" s="10">
        <f>COUNTIFS(EmployeeMaster!$I$5:$I$224,"&gt;="&amp;DATE(2026,5,1),EmployeeMaster!$I$5:$I$224,"&lt;"&amp;DATE(2026,6,1))</f>
        <v/>
      </c>
    </row>
    <row r="39">
      <c r="A39" s="12" t="inlineStr">
        <is>
          <t>Jun</t>
        </is>
      </c>
      <c r="B39" s="13">
        <f>COUNTIFS(EmployeeMaster!$I$5:$I$224,"&gt;="&amp;DATE(2026,6,1),EmployeeMaster!$I$5:$I$224,"&lt;"&amp;DATE(2026,7,1))</f>
        <v/>
      </c>
    </row>
    <row r="40">
      <c r="A40" s="9" t="inlineStr">
        <is>
          <t>Jul</t>
        </is>
      </c>
      <c r="B40" s="10">
        <f>COUNTIFS(EmployeeMaster!$I$5:$I$224,"&gt;="&amp;DATE(2026,7,1),EmployeeMaster!$I$5:$I$224,"&lt;"&amp;DATE(2026,8,1))</f>
        <v/>
      </c>
    </row>
  </sheetData>
  <mergeCells count="20">
    <mergeCell ref="A16:F16"/>
    <mergeCell ref="A5:B6"/>
    <mergeCell ref="G5:H6"/>
    <mergeCell ref="I5:J6"/>
    <mergeCell ref="C4:D4"/>
    <mergeCell ref="A2:L2"/>
    <mergeCell ref="E4:F4"/>
    <mergeCell ref="H8:K8"/>
    <mergeCell ref="A32:F32"/>
    <mergeCell ref="A8:F8"/>
    <mergeCell ref="H20:K20"/>
    <mergeCell ref="C5:D6"/>
    <mergeCell ref="E5:F6"/>
    <mergeCell ref="K5:L6"/>
    <mergeCell ref="A4:B4"/>
    <mergeCell ref="G4:H4"/>
    <mergeCell ref="A24:F24"/>
    <mergeCell ref="I4:J4"/>
    <mergeCell ref="A1:L1"/>
    <mergeCell ref="K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14" customWidth="1" min="4" max="4"/>
    <col width="20" customWidth="1" min="5" max="5"/>
    <col width="13" customWidth="1" min="6" max="6"/>
    <col width="11" customWidth="1" min="7" max="7"/>
    <col width="9" customWidth="1" min="8" max="8"/>
    <col width="11" customWidth="1" min="9" max="9"/>
    <col width="6" customWidth="1" min="10" max="10"/>
    <col width="11" customWidth="1" min="11" max="11"/>
    <col width="12" customWidth="1" min="12" max="12"/>
    <col width="13" customWidth="1" min="13" max="13"/>
  </cols>
  <sheetData>
    <row r="1" ht="30" customHeight="1">
      <c r="A1" s="1" t="inlineStr">
        <is>
          <t>Employee Master — 220 Staff Across Campaigns</t>
        </is>
      </c>
    </row>
    <row r="2">
      <c r="A2" s="2" t="inlineStr">
        <is>
          <t>Source for cohort attrition. Tenure &amp; cohort columns are live formulas (recalc on open).</t>
        </is>
      </c>
    </row>
    <row r="4" ht="30" customHeight="1">
      <c r="A4" s="8" t="inlineStr">
        <is>
          <t>Emp ID</t>
        </is>
      </c>
      <c r="B4" s="8" t="inlineStr">
        <is>
          <t>Employee</t>
        </is>
      </c>
      <c r="C4" s="8" t="inlineStr">
        <is>
          <t>Gender</t>
        </is>
      </c>
      <c r="D4" s="8" t="inlineStr">
        <is>
          <t>Department</t>
        </is>
      </c>
      <c r="E4" s="8" t="inlineStr">
        <is>
          <t>Campaign</t>
        </is>
      </c>
      <c r="F4" s="8" t="inlineStr">
        <is>
          <t>Location</t>
        </is>
      </c>
      <c r="G4" s="8" t="inlineStr">
        <is>
          <t>Hire Date</t>
        </is>
      </c>
      <c r="H4" s="8" t="inlineStr">
        <is>
          <t>Status</t>
        </is>
      </c>
      <c r="I4" s="8" t="inlineStr">
        <is>
          <t>Exit Date</t>
        </is>
      </c>
      <c r="J4" s="8" t="inlineStr">
        <is>
          <t>Age</t>
        </is>
      </c>
      <c r="K4" s="8" t="inlineStr">
        <is>
          <t>Tenure (mths)</t>
        </is>
      </c>
      <c r="L4" s="8" t="inlineStr">
        <is>
          <t>Tenure Cohort</t>
        </is>
      </c>
      <c r="M4" s="8" t="inlineStr">
        <is>
          <t>Monthly Salary</t>
        </is>
      </c>
    </row>
    <row r="5">
      <c r="A5" s="13" t="inlineStr">
        <is>
          <t>E3001</t>
        </is>
      </c>
      <c r="B5" s="12" t="inlineStr">
        <is>
          <t>Zodwa Nkosi</t>
        </is>
      </c>
      <c r="C5" s="13" t="inlineStr">
        <is>
          <t>Male</t>
        </is>
      </c>
      <c r="D5" s="12" t="inlineStr">
        <is>
          <t>Training</t>
        </is>
      </c>
      <c r="E5" s="12" t="inlineStr">
        <is>
          <t>DStv Upsell</t>
        </is>
      </c>
      <c r="F5" s="12" t="inlineStr">
        <is>
          <t>Pretoria</t>
        </is>
      </c>
      <c r="G5" s="21" t="n">
        <v>45227</v>
      </c>
      <c r="H5" s="13" t="inlineStr">
        <is>
          <t>Active</t>
        </is>
      </c>
      <c r="I5" s="13" t="inlineStr"/>
      <c r="J5" s="13" t="n">
        <v>47</v>
      </c>
      <c r="K5" s="22">
        <f>IF(H5="Resigned",(I5-G5),(TODAY()-G5))/30.437</f>
        <v/>
      </c>
      <c r="L5" s="12">
        <f>IF(K5&lt;3,"0-3 months",IF(K5&lt;6,"3-6 months",IF(K5&lt;12,"6-12 months","12+ months")))</f>
        <v/>
      </c>
      <c r="M5" s="23" t="n">
        <v>33000</v>
      </c>
    </row>
    <row r="6">
      <c r="A6" s="10" t="inlineStr">
        <is>
          <t>E3002</t>
        </is>
      </c>
      <c r="B6" s="9" t="inlineStr">
        <is>
          <t>Keabetswe Fourie</t>
        </is>
      </c>
      <c r="C6" s="10" t="inlineStr">
        <is>
          <t>Female</t>
        </is>
      </c>
      <c r="D6" s="9" t="inlineStr">
        <is>
          <t>Quality</t>
        </is>
      </c>
      <c r="E6" s="9" t="inlineStr">
        <is>
          <t>Takealot Care</t>
        </is>
      </c>
      <c r="F6" s="9" t="inlineStr">
        <is>
          <t>Port Elizabeth</t>
        </is>
      </c>
      <c r="G6" s="24" t="n">
        <v>45930</v>
      </c>
      <c r="H6" s="10" t="inlineStr">
        <is>
          <t>Active</t>
        </is>
      </c>
      <c r="I6" s="10" t="inlineStr"/>
      <c r="J6" s="10" t="n">
        <v>31</v>
      </c>
      <c r="K6" s="25">
        <f>IF(H6="Resigned",(I6-G6),(TODAY()-G6))/30.437</f>
        <v/>
      </c>
      <c r="L6" s="9">
        <f>IF(K6&lt;3,"0-3 months",IF(K6&lt;6,"3-6 months",IF(K6&lt;12,"6-12 months","12+ months")))</f>
        <v/>
      </c>
      <c r="M6" s="26" t="n">
        <v>28000</v>
      </c>
    </row>
    <row r="7">
      <c r="A7" s="13" t="inlineStr">
        <is>
          <t>E3003</t>
        </is>
      </c>
      <c r="B7" s="12" t="inlineStr">
        <is>
          <t>Ntombizodwa Govender</t>
        </is>
      </c>
      <c r="C7" s="13" t="inlineStr">
        <is>
          <t>Female</t>
        </is>
      </c>
      <c r="D7" s="12" t="inlineStr">
        <is>
          <t>Sales</t>
        </is>
      </c>
      <c r="E7" s="12" t="inlineStr">
        <is>
          <t>DStv Upsell</t>
        </is>
      </c>
      <c r="F7" s="12" t="inlineStr">
        <is>
          <t>Johannesburg</t>
        </is>
      </c>
      <c r="G7" s="21" t="n">
        <v>45737</v>
      </c>
      <c r="H7" s="13" t="inlineStr">
        <is>
          <t>Active</t>
        </is>
      </c>
      <c r="I7" s="13" t="inlineStr"/>
      <c r="J7" s="13" t="n">
        <v>52</v>
      </c>
      <c r="K7" s="22">
        <f>IF(H7="Resigned",(I7-G7),(TODAY()-G7))/30.437</f>
        <v/>
      </c>
      <c r="L7" s="12">
        <f>IF(K7&lt;3,"0-3 months",IF(K7&lt;6,"3-6 months",IF(K7&lt;12,"6-12 months","12+ months")))</f>
        <v/>
      </c>
      <c r="M7" s="23" t="n">
        <v>18500</v>
      </c>
    </row>
    <row r="8">
      <c r="A8" s="10" t="inlineStr">
        <is>
          <t>E3004</t>
        </is>
      </c>
      <c r="B8" s="9" t="inlineStr">
        <is>
          <t>Sipho Meyer</t>
        </is>
      </c>
      <c r="C8" s="10" t="inlineStr">
        <is>
          <t>Male</t>
        </is>
      </c>
      <c r="D8" s="9" t="inlineStr">
        <is>
          <t>Training</t>
        </is>
      </c>
      <c r="E8" s="9" t="inlineStr">
        <is>
          <t>Discovery Lead Gen</t>
        </is>
      </c>
      <c r="F8" s="9" t="inlineStr">
        <is>
          <t>Cape Town</t>
        </is>
      </c>
      <c r="G8" s="24" t="n">
        <v>45225</v>
      </c>
      <c r="H8" s="10" t="inlineStr">
        <is>
          <t>Active</t>
        </is>
      </c>
      <c r="I8" s="10" t="inlineStr"/>
      <c r="J8" s="10" t="n">
        <v>25</v>
      </c>
      <c r="K8" s="25">
        <f>IF(H8="Resigned",(I8-G8),(TODAY()-G8))/30.437</f>
        <v/>
      </c>
      <c r="L8" s="9">
        <f>IF(K8&lt;3,"0-3 months",IF(K8&lt;6,"3-6 months",IF(K8&lt;12,"6-12 months","12+ months")))</f>
        <v/>
      </c>
      <c r="M8" s="26" t="n">
        <v>13500</v>
      </c>
    </row>
    <row r="9">
      <c r="A9" s="13" t="inlineStr">
        <is>
          <t>E3005</t>
        </is>
      </c>
      <c r="B9" s="12" t="inlineStr">
        <is>
          <t>Andile Khumalo</t>
        </is>
      </c>
      <c r="C9" s="13" t="inlineStr">
        <is>
          <t>Female</t>
        </is>
      </c>
      <c r="D9" s="12" t="inlineStr">
        <is>
          <t>Operations</t>
        </is>
      </c>
      <c r="E9" s="12" t="inlineStr">
        <is>
          <t>MTN Retentions</t>
        </is>
      </c>
      <c r="F9" s="12" t="inlineStr">
        <is>
          <t>Cape Town</t>
        </is>
      </c>
      <c r="G9" s="21" t="n">
        <v>45949</v>
      </c>
      <c r="H9" s="13" t="inlineStr">
        <is>
          <t>Resigned</t>
        </is>
      </c>
      <c r="I9" s="21" t="n">
        <v>46075</v>
      </c>
      <c r="J9" s="13" t="n">
        <v>46</v>
      </c>
      <c r="K9" s="22">
        <f>IF(H9="Resigned",(I9-G9),(TODAY()-G9))/30.437</f>
        <v/>
      </c>
      <c r="L9" s="12">
        <f>IF(K9&lt;3,"0-3 months",IF(K9&lt;6,"3-6 months",IF(K9&lt;12,"6-12 months","12+ months")))</f>
        <v/>
      </c>
      <c r="M9" s="23" t="n">
        <v>18500</v>
      </c>
    </row>
    <row r="10">
      <c r="A10" s="10" t="inlineStr">
        <is>
          <t>E3006</t>
        </is>
      </c>
      <c r="B10" s="9" t="inlineStr">
        <is>
          <t>Nokuthula Petersen</t>
        </is>
      </c>
      <c r="C10" s="10" t="inlineStr">
        <is>
          <t>Female</t>
        </is>
      </c>
      <c r="D10" s="9" t="inlineStr">
        <is>
          <t>Quality</t>
        </is>
      </c>
      <c r="E10" s="9" t="inlineStr">
        <is>
          <t>Takealot Care</t>
        </is>
      </c>
      <c r="F10" s="9" t="inlineStr">
        <is>
          <t>Cape Town</t>
        </is>
      </c>
      <c r="G10" s="24" t="n">
        <v>45882</v>
      </c>
      <c r="H10" s="10" t="inlineStr">
        <is>
          <t>Active</t>
        </is>
      </c>
      <c r="I10" s="10" t="inlineStr"/>
      <c r="J10" s="10" t="n">
        <v>41</v>
      </c>
      <c r="K10" s="25">
        <f>IF(H10="Resigned",(I10-G10),(TODAY()-G10))/30.437</f>
        <v/>
      </c>
      <c r="L10" s="9">
        <f>IF(K10&lt;3,"0-3 months",IF(K10&lt;6,"3-6 months",IF(K10&lt;12,"6-12 months","12+ months")))</f>
        <v/>
      </c>
      <c r="M10" s="26" t="n">
        <v>13500</v>
      </c>
    </row>
    <row r="11">
      <c r="A11" s="13" t="inlineStr">
        <is>
          <t>E3007</t>
        </is>
      </c>
      <c r="B11" s="12" t="inlineStr">
        <is>
          <t>Andile Tshabalala</t>
        </is>
      </c>
      <c r="C11" s="13" t="inlineStr">
        <is>
          <t>Male</t>
        </is>
      </c>
      <c r="D11" s="12" t="inlineStr">
        <is>
          <t>Team Leaders</t>
        </is>
      </c>
      <c r="E11" s="12" t="inlineStr">
        <is>
          <t>DStv Upsell</t>
        </is>
      </c>
      <c r="F11" s="12" t="inlineStr">
        <is>
          <t>Cape Town</t>
        </is>
      </c>
      <c r="G11" s="21" t="n">
        <v>45684</v>
      </c>
      <c r="H11" s="13" t="inlineStr">
        <is>
          <t>Active</t>
        </is>
      </c>
      <c r="I11" s="13" t="inlineStr"/>
      <c r="J11" s="13" t="n">
        <v>34</v>
      </c>
      <c r="K11" s="22">
        <f>IF(H11="Resigned",(I11-G11),(TODAY()-G11))/30.437</f>
        <v/>
      </c>
      <c r="L11" s="12">
        <f>IF(K11&lt;3,"0-3 months",IF(K11&lt;6,"3-6 months",IF(K11&lt;12,"6-12 months","12+ months")))</f>
        <v/>
      </c>
      <c r="M11" s="23" t="n">
        <v>39000</v>
      </c>
    </row>
    <row r="12">
      <c r="A12" s="10" t="inlineStr">
        <is>
          <t>E3008</t>
        </is>
      </c>
      <c r="B12" s="9" t="inlineStr">
        <is>
          <t>Thabo Dlamini</t>
        </is>
      </c>
      <c r="C12" s="10" t="inlineStr">
        <is>
          <t>Male</t>
        </is>
      </c>
      <c r="D12" s="9" t="inlineStr">
        <is>
          <t>Quality</t>
        </is>
      </c>
      <c r="E12" s="9" t="inlineStr">
        <is>
          <t>ABSA Collections</t>
        </is>
      </c>
      <c r="F12" s="9" t="inlineStr">
        <is>
          <t>Port Elizabeth</t>
        </is>
      </c>
      <c r="G12" s="24" t="n">
        <v>44965</v>
      </c>
      <c r="H12" s="10" t="inlineStr">
        <is>
          <t>Active</t>
        </is>
      </c>
      <c r="I12" s="10" t="inlineStr"/>
      <c r="J12" s="10" t="n">
        <v>43</v>
      </c>
      <c r="K12" s="25">
        <f>IF(H12="Resigned",(I12-G12),(TODAY()-G12))/30.437</f>
        <v/>
      </c>
      <c r="L12" s="9">
        <f>IF(K12&lt;3,"0-3 months",IF(K12&lt;6,"3-6 months",IF(K12&lt;12,"6-12 months","12+ months")))</f>
        <v/>
      </c>
      <c r="M12" s="26" t="n">
        <v>24000</v>
      </c>
    </row>
    <row r="13">
      <c r="A13" s="13" t="inlineStr">
        <is>
          <t>E3009</t>
        </is>
      </c>
      <c r="B13" s="12" t="inlineStr">
        <is>
          <t>Ntombizodwa Zulu</t>
        </is>
      </c>
      <c r="C13" s="13" t="inlineStr">
        <is>
          <t>Female</t>
        </is>
      </c>
      <c r="D13" s="12" t="inlineStr">
        <is>
          <t>Sales</t>
        </is>
      </c>
      <c r="E13" s="12" t="inlineStr">
        <is>
          <t>Telkom Tech Support</t>
        </is>
      </c>
      <c r="F13" s="12" t="inlineStr">
        <is>
          <t>Cape Town</t>
        </is>
      </c>
      <c r="G13" s="21" t="n">
        <v>45244</v>
      </c>
      <c r="H13" s="13" t="inlineStr">
        <is>
          <t>Active</t>
        </is>
      </c>
      <c r="I13" s="13" t="inlineStr"/>
      <c r="J13" s="13" t="n">
        <v>54</v>
      </c>
      <c r="K13" s="22">
        <f>IF(H13="Resigned",(I13-G13),(TODAY()-G13))/30.437</f>
        <v/>
      </c>
      <c r="L13" s="12">
        <f>IF(K13&lt;3,"0-3 months",IF(K13&lt;6,"3-6 months",IF(K13&lt;12,"6-12 months","12+ months")))</f>
        <v/>
      </c>
      <c r="M13" s="23" t="n">
        <v>16500</v>
      </c>
    </row>
    <row r="14">
      <c r="A14" s="10" t="inlineStr">
        <is>
          <t>E3010</t>
        </is>
      </c>
      <c r="B14" s="9" t="inlineStr">
        <is>
          <t>Refilwe Radebe</t>
        </is>
      </c>
      <c r="C14" s="10" t="inlineStr">
        <is>
          <t>Male</t>
        </is>
      </c>
      <c r="D14" s="9" t="inlineStr">
        <is>
          <t>Training</t>
        </is>
      </c>
      <c r="E14" s="9" t="inlineStr">
        <is>
          <t>MTN Retentions</t>
        </is>
      </c>
      <c r="F14" s="9" t="inlineStr">
        <is>
          <t>Pretoria</t>
        </is>
      </c>
      <c r="G14" s="24" t="n">
        <v>45761</v>
      </c>
      <c r="H14" s="10" t="inlineStr">
        <is>
          <t>Active</t>
        </is>
      </c>
      <c r="I14" s="10" t="inlineStr"/>
      <c r="J14" s="10" t="n">
        <v>48</v>
      </c>
      <c r="K14" s="25">
        <f>IF(H14="Resigned",(I14-G14),(TODAY()-G14))/30.437</f>
        <v/>
      </c>
      <c r="L14" s="9">
        <f>IF(K14&lt;3,"0-3 months",IF(K14&lt;6,"3-6 months",IF(K14&lt;12,"6-12 months","12+ months")))</f>
        <v/>
      </c>
      <c r="M14" s="26" t="n">
        <v>16500</v>
      </c>
    </row>
    <row r="15">
      <c r="A15" s="13" t="inlineStr">
        <is>
          <t>E3011</t>
        </is>
      </c>
      <c r="B15" s="12" t="inlineStr">
        <is>
          <t>Thabo Nel</t>
        </is>
      </c>
      <c r="C15" s="13" t="inlineStr">
        <is>
          <t>Female</t>
        </is>
      </c>
      <c r="D15" s="12" t="inlineStr">
        <is>
          <t>Customer Care</t>
        </is>
      </c>
      <c r="E15" s="12" t="inlineStr">
        <is>
          <t>Takealot Care</t>
        </is>
      </c>
      <c r="F15" s="12" t="inlineStr">
        <is>
          <t>Johannesburg</t>
        </is>
      </c>
      <c r="G15" s="21" t="n">
        <v>45639</v>
      </c>
      <c r="H15" s="13" t="inlineStr">
        <is>
          <t>Active</t>
        </is>
      </c>
      <c r="I15" s="13" t="inlineStr"/>
      <c r="J15" s="13" t="n">
        <v>24</v>
      </c>
      <c r="K15" s="22">
        <f>IF(H15="Resigned",(I15-G15),(TODAY()-G15))/30.437</f>
        <v/>
      </c>
      <c r="L15" s="12">
        <f>IF(K15&lt;3,"0-3 months",IF(K15&lt;6,"3-6 months",IF(K15&lt;12,"6-12 months","12+ months")))</f>
        <v/>
      </c>
      <c r="M15" s="23" t="n">
        <v>33000</v>
      </c>
    </row>
    <row r="16">
      <c r="A16" s="10" t="inlineStr">
        <is>
          <t>E3012</t>
        </is>
      </c>
      <c r="B16" s="9" t="inlineStr">
        <is>
          <t>Zanele Sithole</t>
        </is>
      </c>
      <c r="C16" s="10" t="inlineStr">
        <is>
          <t>Female</t>
        </is>
      </c>
      <c r="D16" s="9" t="inlineStr">
        <is>
          <t>Quality</t>
        </is>
      </c>
      <c r="E16" s="9" t="inlineStr">
        <is>
          <t>Takealot Care</t>
        </is>
      </c>
      <c r="F16" s="9" t="inlineStr">
        <is>
          <t>Pretoria</t>
        </is>
      </c>
      <c r="G16" s="24" t="n">
        <v>45682</v>
      </c>
      <c r="H16" s="10" t="inlineStr">
        <is>
          <t>Active</t>
        </is>
      </c>
      <c r="I16" s="10" t="inlineStr"/>
      <c r="J16" s="10" t="n">
        <v>48</v>
      </c>
      <c r="K16" s="25">
        <f>IF(H16="Resigned",(I16-G16),(TODAY()-G16))/30.437</f>
        <v/>
      </c>
      <c r="L16" s="9">
        <f>IF(K16&lt;3,"0-3 months",IF(K16&lt;6,"3-6 months",IF(K16&lt;12,"6-12 months","12+ months")))</f>
        <v/>
      </c>
      <c r="M16" s="26" t="n">
        <v>13500</v>
      </c>
    </row>
    <row r="17">
      <c r="A17" s="13" t="inlineStr">
        <is>
          <t>E3013</t>
        </is>
      </c>
      <c r="B17" s="12" t="inlineStr">
        <is>
          <t>Sibusiso Fourie</t>
        </is>
      </c>
      <c r="C17" s="13" t="inlineStr">
        <is>
          <t>Male</t>
        </is>
      </c>
      <c r="D17" s="12" t="inlineStr">
        <is>
          <t>Admin</t>
        </is>
      </c>
      <c r="E17" s="12" t="inlineStr">
        <is>
          <t>DStv Upsell</t>
        </is>
      </c>
      <c r="F17" s="12" t="inlineStr">
        <is>
          <t>Pretoria</t>
        </is>
      </c>
      <c r="G17" s="21" t="n">
        <v>45705</v>
      </c>
      <c r="H17" s="13" t="inlineStr">
        <is>
          <t>Active</t>
        </is>
      </c>
      <c r="I17" s="13" t="inlineStr"/>
      <c r="J17" s="13" t="n">
        <v>30</v>
      </c>
      <c r="K17" s="22">
        <f>IF(H17="Resigned",(I17-G17),(TODAY()-G17))/30.437</f>
        <v/>
      </c>
      <c r="L17" s="12">
        <f>IF(K17&lt;3,"0-3 months",IF(K17&lt;6,"3-6 months",IF(K17&lt;12,"6-12 months","12+ months")))</f>
        <v/>
      </c>
      <c r="M17" s="23" t="n">
        <v>15000</v>
      </c>
    </row>
    <row r="18">
      <c r="A18" s="10" t="inlineStr">
        <is>
          <t>E3014</t>
        </is>
      </c>
      <c r="B18" s="9" t="inlineStr">
        <is>
          <t>Lindiwe Mokoena</t>
        </is>
      </c>
      <c r="C18" s="10" t="inlineStr">
        <is>
          <t>Female</t>
        </is>
      </c>
      <c r="D18" s="9" t="inlineStr">
        <is>
          <t>Training</t>
        </is>
      </c>
      <c r="E18" s="9" t="inlineStr">
        <is>
          <t>OUTsurance Sales</t>
        </is>
      </c>
      <c r="F18" s="9" t="inlineStr">
        <is>
          <t>Johannesburg</t>
        </is>
      </c>
      <c r="G18" s="24" t="n">
        <v>45367</v>
      </c>
      <c r="H18" s="10" t="inlineStr">
        <is>
          <t>Resigned</t>
        </is>
      </c>
      <c r="I18" s="24" t="n">
        <v>45819</v>
      </c>
      <c r="J18" s="10" t="n">
        <v>22</v>
      </c>
      <c r="K18" s="25">
        <f>IF(H18="Resigned",(I18-G18),(TODAY()-G18))/30.437</f>
        <v/>
      </c>
      <c r="L18" s="9">
        <f>IF(K18&lt;3,"0-3 months",IF(K18&lt;6,"3-6 months",IF(K18&lt;12,"6-12 months","12+ months")))</f>
        <v/>
      </c>
      <c r="M18" s="26" t="n">
        <v>24000</v>
      </c>
    </row>
    <row r="19">
      <c r="A19" s="13" t="inlineStr">
        <is>
          <t>E3015</t>
        </is>
      </c>
      <c r="B19" s="12" t="inlineStr">
        <is>
          <t>Boitumelo Zulu</t>
        </is>
      </c>
      <c r="C19" s="13" t="inlineStr">
        <is>
          <t>Female</t>
        </is>
      </c>
      <c r="D19" s="12" t="inlineStr">
        <is>
          <t>Team Leaders</t>
        </is>
      </c>
      <c r="E19" s="12" t="inlineStr">
        <is>
          <t>DStv Upsell</t>
        </is>
      </c>
      <c r="F19" s="12" t="inlineStr">
        <is>
          <t>Cape Town</t>
        </is>
      </c>
      <c r="G19" s="21" t="n">
        <v>45640</v>
      </c>
      <c r="H19" s="13" t="inlineStr">
        <is>
          <t>Active</t>
        </is>
      </c>
      <c r="I19" s="13" t="inlineStr"/>
      <c r="J19" s="13" t="n">
        <v>34</v>
      </c>
      <c r="K19" s="22">
        <f>IF(H19="Resigned",(I19-G19),(TODAY()-G19))/30.437</f>
        <v/>
      </c>
      <c r="L19" s="12">
        <f>IF(K19&lt;3,"0-3 months",IF(K19&lt;6,"3-6 months",IF(K19&lt;12,"6-12 months","12+ months")))</f>
        <v/>
      </c>
      <c r="M19" s="23" t="n">
        <v>18500</v>
      </c>
    </row>
    <row r="20">
      <c r="A20" s="10" t="inlineStr">
        <is>
          <t>E3016</t>
        </is>
      </c>
      <c r="B20" s="9" t="inlineStr">
        <is>
          <t>Katlego Jacobs</t>
        </is>
      </c>
      <c r="C20" s="10" t="inlineStr">
        <is>
          <t>Female</t>
        </is>
      </c>
      <c r="D20" s="9" t="inlineStr">
        <is>
          <t>Training</t>
        </is>
      </c>
      <c r="E20" s="9" t="inlineStr">
        <is>
          <t>Discovery Lead Gen</t>
        </is>
      </c>
      <c r="F20" s="9" t="inlineStr">
        <is>
          <t>Cape Town</t>
        </is>
      </c>
      <c r="G20" s="24" t="n">
        <v>45810</v>
      </c>
      <c r="H20" s="10" t="inlineStr">
        <is>
          <t>Active</t>
        </is>
      </c>
      <c r="I20" s="10" t="inlineStr"/>
      <c r="J20" s="10" t="n">
        <v>38</v>
      </c>
      <c r="K20" s="25">
        <f>IF(H20="Resigned",(I20-G20),(TODAY()-G20))/30.437</f>
        <v/>
      </c>
      <c r="L20" s="9">
        <f>IF(K20&lt;3,"0-3 months",IF(K20&lt;6,"3-6 months",IF(K20&lt;12,"6-12 months","12+ months")))</f>
        <v/>
      </c>
      <c r="M20" s="26" t="n">
        <v>33000</v>
      </c>
    </row>
    <row r="21">
      <c r="A21" s="13" t="inlineStr">
        <is>
          <t>E3017</t>
        </is>
      </c>
      <c r="B21" s="12" t="inlineStr">
        <is>
          <t>Sibusiso Radebe</t>
        </is>
      </c>
      <c r="C21" s="13" t="inlineStr">
        <is>
          <t>Female</t>
        </is>
      </c>
      <c r="D21" s="12" t="inlineStr">
        <is>
          <t>Customer Care</t>
        </is>
      </c>
      <c r="E21" s="12" t="inlineStr">
        <is>
          <t>OUTsurance Sales</t>
        </is>
      </c>
      <c r="F21" s="12" t="inlineStr">
        <is>
          <t>Port Elizabeth</t>
        </is>
      </c>
      <c r="G21" s="21" t="n">
        <v>45488</v>
      </c>
      <c r="H21" s="13" t="inlineStr">
        <is>
          <t>Active</t>
        </is>
      </c>
      <c r="I21" s="13" t="inlineStr"/>
      <c r="J21" s="13" t="n">
        <v>45</v>
      </c>
      <c r="K21" s="22">
        <f>IF(H21="Resigned",(I21-G21),(TODAY()-G21))/30.437</f>
        <v/>
      </c>
      <c r="L21" s="12">
        <f>IF(K21&lt;3,"0-3 months",IF(K21&lt;6,"3-6 months",IF(K21&lt;12,"6-12 months","12+ months")))</f>
        <v/>
      </c>
      <c r="M21" s="23" t="n">
        <v>33000</v>
      </c>
    </row>
    <row r="22">
      <c r="A22" s="10" t="inlineStr">
        <is>
          <t>E3018</t>
        </is>
      </c>
      <c r="B22" s="9" t="inlineStr">
        <is>
          <t>Onalenna Naidoo</t>
        </is>
      </c>
      <c r="C22" s="10" t="inlineStr">
        <is>
          <t>Female</t>
        </is>
      </c>
      <c r="D22" s="9" t="inlineStr">
        <is>
          <t>IT Support</t>
        </is>
      </c>
      <c r="E22" s="9" t="inlineStr">
        <is>
          <t>Discovery Lead Gen</t>
        </is>
      </c>
      <c r="F22" s="9" t="inlineStr">
        <is>
          <t>Port Elizabeth</t>
        </is>
      </c>
      <c r="G22" s="24" t="n">
        <v>45848</v>
      </c>
      <c r="H22" s="10" t="inlineStr">
        <is>
          <t>Active</t>
        </is>
      </c>
      <c r="I22" s="10" t="inlineStr"/>
      <c r="J22" s="10" t="n">
        <v>32</v>
      </c>
      <c r="K22" s="25">
        <f>IF(H22="Resigned",(I22-G22),(TODAY()-G22))/30.437</f>
        <v/>
      </c>
      <c r="L22" s="9">
        <f>IF(K22&lt;3,"0-3 months",IF(K22&lt;6,"3-6 months",IF(K22&lt;12,"6-12 months","12+ months")))</f>
        <v/>
      </c>
      <c r="M22" s="26" t="n">
        <v>18500</v>
      </c>
    </row>
    <row r="23">
      <c r="A23" s="13" t="inlineStr">
        <is>
          <t>E3019</t>
        </is>
      </c>
      <c r="B23" s="12" t="inlineStr">
        <is>
          <t>Mpho Zulu</t>
        </is>
      </c>
      <c r="C23" s="13" t="inlineStr">
        <is>
          <t>Female</t>
        </is>
      </c>
      <c r="D23" s="12" t="inlineStr">
        <is>
          <t>Quality</t>
        </is>
      </c>
      <c r="E23" s="12" t="inlineStr">
        <is>
          <t>Standard Bank Helpdesk</t>
        </is>
      </c>
      <c r="F23" s="12" t="inlineStr">
        <is>
          <t>Cape Town</t>
        </is>
      </c>
      <c r="G23" s="21" t="n">
        <v>45915</v>
      </c>
      <c r="H23" s="13" t="inlineStr">
        <is>
          <t>Active</t>
        </is>
      </c>
      <c r="I23" s="13" t="inlineStr"/>
      <c r="J23" s="13" t="n">
        <v>29</v>
      </c>
      <c r="K23" s="22">
        <f>IF(H23="Resigned",(I23-G23),(TODAY()-G23))/30.437</f>
        <v/>
      </c>
      <c r="L23" s="12">
        <f>IF(K23&lt;3,"0-3 months",IF(K23&lt;6,"3-6 months",IF(K23&lt;12,"6-12 months","12+ months")))</f>
        <v/>
      </c>
      <c r="M23" s="23" t="n">
        <v>33000</v>
      </c>
    </row>
    <row r="24">
      <c r="A24" s="10" t="inlineStr">
        <is>
          <t>E3020</t>
        </is>
      </c>
      <c r="B24" s="9" t="inlineStr">
        <is>
          <t>Precious Sithole</t>
        </is>
      </c>
      <c r="C24" s="10" t="inlineStr">
        <is>
          <t>Female</t>
        </is>
      </c>
      <c r="D24" s="9" t="inlineStr">
        <is>
          <t>Operations</t>
        </is>
      </c>
      <c r="E24" s="9" t="inlineStr">
        <is>
          <t>Shoprite Surveys</t>
        </is>
      </c>
      <c r="F24" s="9" t="inlineStr">
        <is>
          <t>Cape Town</t>
        </is>
      </c>
      <c r="G24" s="24" t="n">
        <v>45844</v>
      </c>
      <c r="H24" s="10" t="inlineStr">
        <is>
          <t>Active</t>
        </is>
      </c>
      <c r="I24" s="10" t="inlineStr"/>
      <c r="J24" s="10" t="n">
        <v>28</v>
      </c>
      <c r="K24" s="25">
        <f>IF(H24="Resigned",(I24-G24),(TODAY()-G24))/30.437</f>
        <v/>
      </c>
      <c r="L24" s="9">
        <f>IF(K24&lt;3,"0-3 months",IF(K24&lt;6,"3-6 months",IF(K24&lt;12,"6-12 months","12+ months")))</f>
        <v/>
      </c>
      <c r="M24" s="26" t="n">
        <v>28000</v>
      </c>
    </row>
    <row r="25">
      <c r="A25" s="13" t="inlineStr">
        <is>
          <t>E3021</t>
        </is>
      </c>
      <c r="B25" s="12" t="inlineStr">
        <is>
          <t>Musa Khumalo</t>
        </is>
      </c>
      <c r="C25" s="13" t="inlineStr">
        <is>
          <t>Female</t>
        </is>
      </c>
      <c r="D25" s="12" t="inlineStr">
        <is>
          <t>Operations</t>
        </is>
      </c>
      <c r="E25" s="12" t="inlineStr">
        <is>
          <t>Telkom Tech Support</t>
        </is>
      </c>
      <c r="F25" s="12" t="inlineStr">
        <is>
          <t>Port Elizabeth</t>
        </is>
      </c>
      <c r="G25" s="21" t="n">
        <v>45245</v>
      </c>
      <c r="H25" s="13" t="inlineStr">
        <is>
          <t>Active</t>
        </is>
      </c>
      <c r="I25" s="13" t="inlineStr"/>
      <c r="J25" s="13" t="n">
        <v>23</v>
      </c>
      <c r="K25" s="22">
        <f>IF(H25="Resigned",(I25-G25),(TODAY()-G25))/30.437</f>
        <v/>
      </c>
      <c r="L25" s="12">
        <f>IF(K25&lt;3,"0-3 months",IF(K25&lt;6,"3-6 months",IF(K25&lt;12,"6-12 months","12+ months")))</f>
        <v/>
      </c>
      <c r="M25" s="23" t="n">
        <v>28000</v>
      </c>
    </row>
    <row r="26">
      <c r="A26" s="10" t="inlineStr">
        <is>
          <t>E3022</t>
        </is>
      </c>
      <c r="B26" s="9" t="inlineStr">
        <is>
          <t>Themba Mabaso</t>
        </is>
      </c>
      <c r="C26" s="10" t="inlineStr">
        <is>
          <t>Female</t>
        </is>
      </c>
      <c r="D26" s="9" t="inlineStr">
        <is>
          <t>Training</t>
        </is>
      </c>
      <c r="E26" s="9" t="inlineStr">
        <is>
          <t>Nedbank Debt Review</t>
        </is>
      </c>
      <c r="F26" s="9" t="inlineStr">
        <is>
          <t>Port Elizabeth</t>
        </is>
      </c>
      <c r="G26" s="24" t="n">
        <v>45027</v>
      </c>
      <c r="H26" s="10" t="inlineStr">
        <is>
          <t>Active</t>
        </is>
      </c>
      <c r="I26" s="10" t="inlineStr"/>
      <c r="J26" s="10" t="n">
        <v>46</v>
      </c>
      <c r="K26" s="25">
        <f>IF(H26="Resigned",(I26-G26),(TODAY()-G26))/30.437</f>
        <v/>
      </c>
      <c r="L26" s="9">
        <f>IF(K26&lt;3,"0-3 months",IF(K26&lt;6,"3-6 months",IF(K26&lt;12,"6-12 months","12+ months")))</f>
        <v/>
      </c>
      <c r="M26" s="26" t="n">
        <v>24000</v>
      </c>
    </row>
    <row r="27">
      <c r="A27" s="13" t="inlineStr">
        <is>
          <t>E3023</t>
        </is>
      </c>
      <c r="B27" s="12" t="inlineStr">
        <is>
          <t>Lindiwe Tshabalala</t>
        </is>
      </c>
      <c r="C27" s="13" t="inlineStr">
        <is>
          <t>Female</t>
        </is>
      </c>
      <c r="D27" s="12" t="inlineStr">
        <is>
          <t>IT Support</t>
        </is>
      </c>
      <c r="E27" s="12" t="inlineStr">
        <is>
          <t>Telkom Tech Support</t>
        </is>
      </c>
      <c r="F27" s="12" t="inlineStr">
        <is>
          <t>Durban</t>
        </is>
      </c>
      <c r="G27" s="21" t="n">
        <v>45348</v>
      </c>
      <c r="H27" s="13" t="inlineStr">
        <is>
          <t>Active</t>
        </is>
      </c>
      <c r="I27" s="13" t="inlineStr"/>
      <c r="J27" s="13" t="n">
        <v>47</v>
      </c>
      <c r="K27" s="22">
        <f>IF(H27="Resigned",(I27-G27),(TODAY()-G27))/30.437</f>
        <v/>
      </c>
      <c r="L27" s="12">
        <f>IF(K27&lt;3,"0-3 months",IF(K27&lt;6,"3-6 months",IF(K27&lt;12,"6-12 months","12+ months")))</f>
        <v/>
      </c>
      <c r="M27" s="23" t="n">
        <v>18500</v>
      </c>
    </row>
    <row r="28">
      <c r="A28" s="10" t="inlineStr">
        <is>
          <t>E3024</t>
        </is>
      </c>
      <c r="B28" s="9" t="inlineStr">
        <is>
          <t>Lindiwe Meyer</t>
        </is>
      </c>
      <c r="C28" s="10" t="inlineStr">
        <is>
          <t>Female</t>
        </is>
      </c>
      <c r="D28" s="9" t="inlineStr">
        <is>
          <t>Operations</t>
        </is>
      </c>
      <c r="E28" s="9" t="inlineStr">
        <is>
          <t>Standard Bank Helpdesk</t>
        </is>
      </c>
      <c r="F28" s="9" t="inlineStr">
        <is>
          <t>Cape Town</t>
        </is>
      </c>
      <c r="G28" s="24" t="n">
        <v>45686</v>
      </c>
      <c r="H28" s="10" t="inlineStr">
        <is>
          <t>Active</t>
        </is>
      </c>
      <c r="I28" s="10" t="inlineStr"/>
      <c r="J28" s="10" t="n">
        <v>53</v>
      </c>
      <c r="K28" s="25">
        <f>IF(H28="Resigned",(I28-G28),(TODAY()-G28))/30.437</f>
        <v/>
      </c>
      <c r="L28" s="9">
        <f>IF(K28&lt;3,"0-3 months",IF(K28&lt;6,"3-6 months",IF(K28&lt;12,"6-12 months","12+ months")))</f>
        <v/>
      </c>
      <c r="M28" s="26" t="n">
        <v>13500</v>
      </c>
    </row>
    <row r="29">
      <c r="A29" s="13" t="inlineStr">
        <is>
          <t>E3025</t>
        </is>
      </c>
      <c r="B29" s="12" t="inlineStr">
        <is>
          <t>Vusi Ndlovu</t>
        </is>
      </c>
      <c r="C29" s="13" t="inlineStr">
        <is>
          <t>Female</t>
        </is>
      </c>
      <c r="D29" s="12" t="inlineStr">
        <is>
          <t>IT Support</t>
        </is>
      </c>
      <c r="E29" s="12" t="inlineStr">
        <is>
          <t>ABSA Collections</t>
        </is>
      </c>
      <c r="F29" s="12" t="inlineStr">
        <is>
          <t>Durban</t>
        </is>
      </c>
      <c r="G29" s="21" t="n">
        <v>45680</v>
      </c>
      <c r="H29" s="13" t="inlineStr">
        <is>
          <t>Active</t>
        </is>
      </c>
      <c r="I29" s="13" t="inlineStr"/>
      <c r="J29" s="13" t="n">
        <v>38</v>
      </c>
      <c r="K29" s="22">
        <f>IF(H29="Resigned",(I29-G29),(TODAY()-G29))/30.437</f>
        <v/>
      </c>
      <c r="L29" s="12">
        <f>IF(K29&lt;3,"0-3 months",IF(K29&lt;6,"3-6 months",IF(K29&lt;12,"6-12 months","12+ months")))</f>
        <v/>
      </c>
      <c r="M29" s="23" t="n">
        <v>18500</v>
      </c>
    </row>
    <row r="30">
      <c r="A30" s="10" t="inlineStr">
        <is>
          <t>E3026</t>
        </is>
      </c>
      <c r="B30" s="9" t="inlineStr">
        <is>
          <t>Tebogo Mthembu</t>
        </is>
      </c>
      <c r="C30" s="10" t="inlineStr">
        <is>
          <t>Female</t>
        </is>
      </c>
      <c r="D30" s="9" t="inlineStr">
        <is>
          <t>Admin</t>
        </is>
      </c>
      <c r="E30" s="9" t="inlineStr">
        <is>
          <t>MTN Retentions</t>
        </is>
      </c>
      <c r="F30" s="9" t="inlineStr">
        <is>
          <t>Durban</t>
        </is>
      </c>
      <c r="G30" s="24" t="n">
        <v>45359</v>
      </c>
      <c r="H30" s="10" t="inlineStr">
        <is>
          <t>Active</t>
        </is>
      </c>
      <c r="I30" s="10" t="inlineStr"/>
      <c r="J30" s="10" t="n">
        <v>46</v>
      </c>
      <c r="K30" s="25">
        <f>IF(H30="Resigned",(I30-G30),(TODAY()-G30))/30.437</f>
        <v/>
      </c>
      <c r="L30" s="9">
        <f>IF(K30&lt;3,"0-3 months",IF(K30&lt;6,"3-6 months",IF(K30&lt;12,"6-12 months","12+ months")))</f>
        <v/>
      </c>
      <c r="M30" s="26" t="n">
        <v>28000</v>
      </c>
    </row>
    <row r="31">
      <c r="A31" s="13" t="inlineStr">
        <is>
          <t>E3027</t>
        </is>
      </c>
      <c r="B31" s="12" t="inlineStr">
        <is>
          <t>Ntombizodwa Adams</t>
        </is>
      </c>
      <c r="C31" s="13" t="inlineStr">
        <is>
          <t>Male</t>
        </is>
      </c>
      <c r="D31" s="12" t="inlineStr">
        <is>
          <t>IT Support</t>
        </is>
      </c>
      <c r="E31" s="12" t="inlineStr">
        <is>
          <t>ABSA Collections</t>
        </is>
      </c>
      <c r="F31" s="12" t="inlineStr">
        <is>
          <t>Cape Town</t>
        </is>
      </c>
      <c r="G31" s="21" t="n">
        <v>45424</v>
      </c>
      <c r="H31" s="13" t="inlineStr">
        <is>
          <t>Active</t>
        </is>
      </c>
      <c r="I31" s="13" t="inlineStr"/>
      <c r="J31" s="13" t="n">
        <v>30</v>
      </c>
      <c r="K31" s="22">
        <f>IF(H31="Resigned",(I31-G31),(TODAY()-G31))/30.437</f>
        <v/>
      </c>
      <c r="L31" s="12">
        <f>IF(K31&lt;3,"0-3 months",IF(K31&lt;6,"3-6 months",IF(K31&lt;12,"6-12 months","12+ months")))</f>
        <v/>
      </c>
      <c r="M31" s="23" t="n">
        <v>13500</v>
      </c>
    </row>
    <row r="32">
      <c r="A32" s="10" t="inlineStr">
        <is>
          <t>E3028</t>
        </is>
      </c>
      <c r="B32" s="9" t="inlineStr">
        <is>
          <t>Kagiso Jacobs</t>
        </is>
      </c>
      <c r="C32" s="10" t="inlineStr">
        <is>
          <t>Male</t>
        </is>
      </c>
      <c r="D32" s="9" t="inlineStr">
        <is>
          <t>Team Leaders</t>
        </is>
      </c>
      <c r="E32" s="9" t="inlineStr">
        <is>
          <t>OUTsurance Sales</t>
        </is>
      </c>
      <c r="F32" s="9" t="inlineStr">
        <is>
          <t>Johannesburg</t>
        </is>
      </c>
      <c r="G32" s="24" t="n">
        <v>45913</v>
      </c>
      <c r="H32" s="10" t="inlineStr">
        <is>
          <t>Active</t>
        </is>
      </c>
      <c r="I32" s="10" t="inlineStr"/>
      <c r="J32" s="10" t="n">
        <v>50</v>
      </c>
      <c r="K32" s="25">
        <f>IF(H32="Resigned",(I32-G32),(TODAY()-G32))/30.437</f>
        <v/>
      </c>
      <c r="L32" s="9">
        <f>IF(K32&lt;3,"0-3 months",IF(K32&lt;6,"3-6 months",IF(K32&lt;12,"6-12 months","12+ months")))</f>
        <v/>
      </c>
      <c r="M32" s="26" t="n">
        <v>15000</v>
      </c>
    </row>
    <row r="33">
      <c r="A33" s="13" t="inlineStr">
        <is>
          <t>E3029</t>
        </is>
      </c>
      <c r="B33" s="12" t="inlineStr">
        <is>
          <t>Katlego Adams</t>
        </is>
      </c>
      <c r="C33" s="13" t="inlineStr">
        <is>
          <t>Male</t>
        </is>
      </c>
      <c r="D33" s="12" t="inlineStr">
        <is>
          <t>Quality</t>
        </is>
      </c>
      <c r="E33" s="12" t="inlineStr">
        <is>
          <t>DStv Upsell</t>
        </is>
      </c>
      <c r="F33" s="12" t="inlineStr">
        <is>
          <t>Johannesburg</t>
        </is>
      </c>
      <c r="G33" s="21" t="n">
        <v>45844</v>
      </c>
      <c r="H33" s="13" t="inlineStr">
        <is>
          <t>Active</t>
        </is>
      </c>
      <c r="I33" s="13" t="inlineStr"/>
      <c r="J33" s="13" t="n">
        <v>42</v>
      </c>
      <c r="K33" s="22">
        <f>IF(H33="Resigned",(I33-G33),(TODAY()-G33))/30.437</f>
        <v/>
      </c>
      <c r="L33" s="12">
        <f>IF(K33&lt;3,"0-3 months",IF(K33&lt;6,"3-6 months",IF(K33&lt;12,"6-12 months","12+ months")))</f>
        <v/>
      </c>
      <c r="M33" s="23" t="n">
        <v>18500</v>
      </c>
    </row>
    <row r="34">
      <c r="A34" s="10" t="inlineStr">
        <is>
          <t>E3030</t>
        </is>
      </c>
      <c r="B34" s="9" t="inlineStr">
        <is>
          <t>Siyabonga Ngcobo</t>
        </is>
      </c>
      <c r="C34" s="10" t="inlineStr">
        <is>
          <t>Female</t>
        </is>
      </c>
      <c r="D34" s="9" t="inlineStr">
        <is>
          <t>Quality</t>
        </is>
      </c>
      <c r="E34" s="9" t="inlineStr">
        <is>
          <t>Cell C Winback</t>
        </is>
      </c>
      <c r="F34" s="9" t="inlineStr">
        <is>
          <t>Cape Town</t>
        </is>
      </c>
      <c r="G34" s="24" t="n">
        <v>45763</v>
      </c>
      <c r="H34" s="10" t="inlineStr">
        <is>
          <t>Active</t>
        </is>
      </c>
      <c r="I34" s="10" t="inlineStr"/>
      <c r="J34" s="10" t="n">
        <v>31</v>
      </c>
      <c r="K34" s="25">
        <f>IF(H34="Resigned",(I34-G34),(TODAY()-G34))/30.437</f>
        <v/>
      </c>
      <c r="L34" s="9">
        <f>IF(K34&lt;3,"0-3 months",IF(K34&lt;6,"3-6 months",IF(K34&lt;12,"6-12 months","12+ months")))</f>
        <v/>
      </c>
      <c r="M34" s="26" t="n">
        <v>24000</v>
      </c>
    </row>
    <row r="35">
      <c r="A35" s="13" t="inlineStr">
        <is>
          <t>E3031</t>
        </is>
      </c>
      <c r="B35" s="12" t="inlineStr">
        <is>
          <t>Nomvula Naidoo</t>
        </is>
      </c>
      <c r="C35" s="13" t="inlineStr">
        <is>
          <t>Male</t>
        </is>
      </c>
      <c r="D35" s="12" t="inlineStr">
        <is>
          <t>Training</t>
        </is>
      </c>
      <c r="E35" s="12" t="inlineStr">
        <is>
          <t>Vodacom Upgrades</t>
        </is>
      </c>
      <c r="F35" s="12" t="inlineStr">
        <is>
          <t>Cape Town</t>
        </is>
      </c>
      <c r="G35" s="21" t="n">
        <v>45700</v>
      </c>
      <c r="H35" s="13" t="inlineStr">
        <is>
          <t>Resigned</t>
        </is>
      </c>
      <c r="I35" s="21" t="n">
        <v>46169</v>
      </c>
      <c r="J35" s="13" t="n">
        <v>50</v>
      </c>
      <c r="K35" s="22">
        <f>IF(H35="Resigned",(I35-G35),(TODAY()-G35))/30.437</f>
        <v/>
      </c>
      <c r="L35" s="12">
        <f>IF(K35&lt;3,"0-3 months",IF(K35&lt;6,"3-6 months",IF(K35&lt;12,"6-12 months","12+ months")))</f>
        <v/>
      </c>
      <c r="M35" s="23" t="n">
        <v>39000</v>
      </c>
    </row>
    <row r="36">
      <c r="A36" s="10" t="inlineStr">
        <is>
          <t>E3032</t>
        </is>
      </c>
      <c r="B36" s="9" t="inlineStr">
        <is>
          <t>Nonhlanhla Khumalo</t>
        </is>
      </c>
      <c r="C36" s="10" t="inlineStr">
        <is>
          <t>Male</t>
        </is>
      </c>
      <c r="D36" s="9" t="inlineStr">
        <is>
          <t>Admin</t>
        </is>
      </c>
      <c r="E36" s="9" t="inlineStr">
        <is>
          <t>Standard Bank Helpdesk</t>
        </is>
      </c>
      <c r="F36" s="9" t="inlineStr">
        <is>
          <t>Johannesburg</t>
        </is>
      </c>
      <c r="G36" s="24" t="n">
        <v>45826</v>
      </c>
      <c r="H36" s="10" t="inlineStr">
        <is>
          <t>Active</t>
        </is>
      </c>
      <c r="I36" s="10" t="inlineStr"/>
      <c r="J36" s="10" t="n">
        <v>40</v>
      </c>
      <c r="K36" s="25">
        <f>IF(H36="Resigned",(I36-G36),(TODAY()-G36))/30.437</f>
        <v/>
      </c>
      <c r="L36" s="9">
        <f>IF(K36&lt;3,"0-3 months",IF(K36&lt;6,"3-6 months",IF(K36&lt;12,"6-12 months","12+ months")))</f>
        <v/>
      </c>
      <c r="M36" s="26" t="n">
        <v>24000</v>
      </c>
    </row>
    <row r="37">
      <c r="A37" s="13" t="inlineStr">
        <is>
          <t>E3033</t>
        </is>
      </c>
      <c r="B37" s="12" t="inlineStr">
        <is>
          <t>Naledi Buthelezi</t>
        </is>
      </c>
      <c r="C37" s="13" t="inlineStr">
        <is>
          <t>Male</t>
        </is>
      </c>
      <c r="D37" s="12" t="inlineStr">
        <is>
          <t>IT Support</t>
        </is>
      </c>
      <c r="E37" s="12" t="inlineStr">
        <is>
          <t>Nedbank Debt Review</t>
        </is>
      </c>
      <c r="F37" s="12" t="inlineStr">
        <is>
          <t>Port Elizabeth</t>
        </is>
      </c>
      <c r="G37" s="21" t="n">
        <v>45715</v>
      </c>
      <c r="H37" s="13" t="inlineStr">
        <is>
          <t>Resigned</t>
        </is>
      </c>
      <c r="I37" s="21" t="n">
        <v>46206</v>
      </c>
      <c r="J37" s="13" t="n">
        <v>52</v>
      </c>
      <c r="K37" s="22">
        <f>IF(H37="Resigned",(I37-G37),(TODAY()-G37))/30.437</f>
        <v/>
      </c>
      <c r="L37" s="12">
        <f>IF(K37&lt;3,"0-3 months",IF(K37&lt;6,"3-6 months",IF(K37&lt;12,"6-12 months","12+ months")))</f>
        <v/>
      </c>
      <c r="M37" s="23" t="n">
        <v>28000</v>
      </c>
    </row>
    <row r="38">
      <c r="A38" s="10" t="inlineStr">
        <is>
          <t>E3034</t>
        </is>
      </c>
      <c r="B38" s="9" t="inlineStr">
        <is>
          <t>Bongani Mthembu</t>
        </is>
      </c>
      <c r="C38" s="10" t="inlineStr">
        <is>
          <t>Male</t>
        </is>
      </c>
      <c r="D38" s="9" t="inlineStr">
        <is>
          <t>Training</t>
        </is>
      </c>
      <c r="E38" s="9" t="inlineStr">
        <is>
          <t>MTN Retentions</t>
        </is>
      </c>
      <c r="F38" s="9" t="inlineStr">
        <is>
          <t>Durban</t>
        </is>
      </c>
      <c r="G38" s="24" t="n">
        <v>45574</v>
      </c>
      <c r="H38" s="10" t="inlineStr">
        <is>
          <t>Active</t>
        </is>
      </c>
      <c r="I38" s="10" t="inlineStr"/>
      <c r="J38" s="10" t="n">
        <v>27</v>
      </c>
      <c r="K38" s="25">
        <f>IF(H38="Resigned",(I38-G38),(TODAY()-G38))/30.437</f>
        <v/>
      </c>
      <c r="L38" s="9">
        <f>IF(K38&lt;3,"0-3 months",IF(K38&lt;6,"3-6 months",IF(K38&lt;12,"6-12 months","12+ months")))</f>
        <v/>
      </c>
      <c r="M38" s="26" t="n">
        <v>39000</v>
      </c>
    </row>
    <row r="39">
      <c r="A39" s="13" t="inlineStr">
        <is>
          <t>E3035</t>
        </is>
      </c>
      <c r="B39" s="12" t="inlineStr">
        <is>
          <t>Wandile Dlamini</t>
        </is>
      </c>
      <c r="C39" s="13" t="inlineStr">
        <is>
          <t>Male</t>
        </is>
      </c>
      <c r="D39" s="12" t="inlineStr">
        <is>
          <t>Quality</t>
        </is>
      </c>
      <c r="E39" s="12" t="inlineStr">
        <is>
          <t>Vodacom Upgrades</t>
        </is>
      </c>
      <c r="F39" s="12" t="inlineStr">
        <is>
          <t>Durban</t>
        </is>
      </c>
      <c r="G39" s="21" t="n">
        <v>45601</v>
      </c>
      <c r="H39" s="13" t="inlineStr">
        <is>
          <t>Active</t>
        </is>
      </c>
      <c r="I39" s="13" t="inlineStr"/>
      <c r="J39" s="13" t="n">
        <v>30</v>
      </c>
      <c r="K39" s="22">
        <f>IF(H39="Resigned",(I39-G39),(TODAY()-G39))/30.437</f>
        <v/>
      </c>
      <c r="L39" s="12">
        <f>IF(K39&lt;3,"0-3 months",IF(K39&lt;6,"3-6 months",IF(K39&lt;12,"6-12 months","12+ months")))</f>
        <v/>
      </c>
      <c r="M39" s="23" t="n">
        <v>16500</v>
      </c>
    </row>
    <row r="40">
      <c r="A40" s="10" t="inlineStr">
        <is>
          <t>E3036</t>
        </is>
      </c>
      <c r="B40" s="9" t="inlineStr">
        <is>
          <t>Mandla Mokoena</t>
        </is>
      </c>
      <c r="C40" s="10" t="inlineStr">
        <is>
          <t>Female</t>
        </is>
      </c>
      <c r="D40" s="9" t="inlineStr">
        <is>
          <t>Customer Care</t>
        </is>
      </c>
      <c r="E40" s="9" t="inlineStr">
        <is>
          <t>ABSA Collections</t>
        </is>
      </c>
      <c r="F40" s="9" t="inlineStr">
        <is>
          <t>Johannesburg</t>
        </is>
      </c>
      <c r="G40" s="24" t="n">
        <v>45250</v>
      </c>
      <c r="H40" s="10" t="inlineStr">
        <is>
          <t>Active</t>
        </is>
      </c>
      <c r="I40" s="10" t="inlineStr"/>
      <c r="J40" s="10" t="n">
        <v>23</v>
      </c>
      <c r="K40" s="25">
        <f>IF(H40="Resigned",(I40-G40),(TODAY()-G40))/30.437</f>
        <v/>
      </c>
      <c r="L40" s="9">
        <f>IF(K40&lt;3,"0-3 months",IF(K40&lt;6,"3-6 months",IF(K40&lt;12,"6-12 months","12+ months")))</f>
        <v/>
      </c>
      <c r="M40" s="26" t="n">
        <v>39000</v>
      </c>
    </row>
    <row r="41">
      <c r="A41" s="13" t="inlineStr">
        <is>
          <t>E3037</t>
        </is>
      </c>
      <c r="B41" s="12" t="inlineStr">
        <is>
          <t>Siyabonga Sithole</t>
        </is>
      </c>
      <c r="C41" s="13" t="inlineStr">
        <is>
          <t>Female</t>
        </is>
      </c>
      <c r="D41" s="12" t="inlineStr">
        <is>
          <t>Team Leaders</t>
        </is>
      </c>
      <c r="E41" s="12" t="inlineStr">
        <is>
          <t>Shoprite Surveys</t>
        </is>
      </c>
      <c r="F41" s="12" t="inlineStr">
        <is>
          <t>Port Elizabeth</t>
        </is>
      </c>
      <c r="G41" s="21" t="n">
        <v>44892</v>
      </c>
      <c r="H41" s="13" t="inlineStr">
        <is>
          <t>Active</t>
        </is>
      </c>
      <c r="I41" s="13" t="inlineStr"/>
      <c r="J41" s="13" t="n">
        <v>23</v>
      </c>
      <c r="K41" s="22">
        <f>IF(H41="Resigned",(I41-G41),(TODAY()-G41))/30.437</f>
        <v/>
      </c>
      <c r="L41" s="12">
        <f>IF(K41&lt;3,"0-3 months",IF(K41&lt;6,"3-6 months",IF(K41&lt;12,"6-12 months","12+ months")))</f>
        <v/>
      </c>
      <c r="M41" s="23" t="n">
        <v>28000</v>
      </c>
    </row>
    <row r="42">
      <c r="A42" s="10" t="inlineStr">
        <is>
          <t>E3038</t>
        </is>
      </c>
      <c r="B42" s="9" t="inlineStr">
        <is>
          <t>Tshepo Ndlovu</t>
        </is>
      </c>
      <c r="C42" s="10" t="inlineStr">
        <is>
          <t>Male</t>
        </is>
      </c>
      <c r="D42" s="9" t="inlineStr">
        <is>
          <t>Admin</t>
        </is>
      </c>
      <c r="E42" s="9" t="inlineStr">
        <is>
          <t>Vodacom Upgrades</t>
        </is>
      </c>
      <c r="F42" s="9" t="inlineStr">
        <is>
          <t>Pretoria</t>
        </is>
      </c>
      <c r="G42" s="24" t="n">
        <v>46147</v>
      </c>
      <c r="H42" s="10" t="inlineStr">
        <is>
          <t>Active</t>
        </is>
      </c>
      <c r="I42" s="10" t="inlineStr"/>
      <c r="J42" s="10" t="n">
        <v>34</v>
      </c>
      <c r="K42" s="25">
        <f>IF(H42="Resigned",(I42-G42),(TODAY()-G42))/30.437</f>
        <v/>
      </c>
      <c r="L42" s="9">
        <f>IF(K42&lt;3,"0-3 months",IF(K42&lt;6,"3-6 months",IF(K42&lt;12,"6-12 months","12+ months")))</f>
        <v/>
      </c>
      <c r="M42" s="26" t="n">
        <v>15000</v>
      </c>
    </row>
    <row r="43">
      <c r="A43" s="13" t="inlineStr">
        <is>
          <t>E3039</t>
        </is>
      </c>
      <c r="B43" s="12" t="inlineStr">
        <is>
          <t>Kabelo Nkosi</t>
        </is>
      </c>
      <c r="C43" s="13" t="inlineStr">
        <is>
          <t>Male</t>
        </is>
      </c>
      <c r="D43" s="12" t="inlineStr">
        <is>
          <t>Sales</t>
        </is>
      </c>
      <c r="E43" s="12" t="inlineStr">
        <is>
          <t>Vodacom Upgrades</t>
        </is>
      </c>
      <c r="F43" s="12" t="inlineStr">
        <is>
          <t>Durban</t>
        </is>
      </c>
      <c r="G43" s="21" t="n">
        <v>45694</v>
      </c>
      <c r="H43" s="13" t="inlineStr">
        <is>
          <t>Active</t>
        </is>
      </c>
      <c r="I43" s="13" t="inlineStr"/>
      <c r="J43" s="13" t="n">
        <v>44</v>
      </c>
      <c r="K43" s="22">
        <f>IF(H43="Resigned",(I43-G43),(TODAY()-G43))/30.437</f>
        <v/>
      </c>
      <c r="L43" s="12">
        <f>IF(K43&lt;3,"0-3 months",IF(K43&lt;6,"3-6 months",IF(K43&lt;12,"6-12 months","12+ months")))</f>
        <v/>
      </c>
      <c r="M43" s="23" t="n">
        <v>39000</v>
      </c>
    </row>
    <row r="44">
      <c r="A44" s="10" t="inlineStr">
        <is>
          <t>E3040</t>
        </is>
      </c>
      <c r="B44" s="9" t="inlineStr">
        <is>
          <t>Boitumelo Van Wyk</t>
        </is>
      </c>
      <c r="C44" s="10" t="inlineStr">
        <is>
          <t>Male</t>
        </is>
      </c>
      <c r="D44" s="9" t="inlineStr">
        <is>
          <t>IT Support</t>
        </is>
      </c>
      <c r="E44" s="9" t="inlineStr">
        <is>
          <t>OUTsurance Sales</t>
        </is>
      </c>
      <c r="F44" s="9" t="inlineStr">
        <is>
          <t>Johannesburg</t>
        </is>
      </c>
      <c r="G44" s="24" t="n">
        <v>45838</v>
      </c>
      <c r="H44" s="10" t="inlineStr">
        <is>
          <t>Active</t>
        </is>
      </c>
      <c r="I44" s="10" t="inlineStr"/>
      <c r="J44" s="10" t="n">
        <v>27</v>
      </c>
      <c r="K44" s="25">
        <f>IF(H44="Resigned",(I44-G44),(TODAY()-G44))/30.437</f>
        <v/>
      </c>
      <c r="L44" s="9">
        <f>IF(K44&lt;3,"0-3 months",IF(K44&lt;6,"3-6 months",IF(K44&lt;12,"6-12 months","12+ months")))</f>
        <v/>
      </c>
      <c r="M44" s="26" t="n">
        <v>21000</v>
      </c>
    </row>
    <row r="45">
      <c r="A45" s="13" t="inlineStr">
        <is>
          <t>E3041</t>
        </is>
      </c>
      <c r="B45" s="12" t="inlineStr">
        <is>
          <t>Zinhle Meyer</t>
        </is>
      </c>
      <c r="C45" s="13" t="inlineStr">
        <is>
          <t>Female</t>
        </is>
      </c>
      <c r="D45" s="12" t="inlineStr">
        <is>
          <t>IT Support</t>
        </is>
      </c>
      <c r="E45" s="12" t="inlineStr">
        <is>
          <t>OUTsurance Sales</t>
        </is>
      </c>
      <c r="F45" s="12" t="inlineStr">
        <is>
          <t>Port Elizabeth</t>
        </is>
      </c>
      <c r="G45" s="21" t="n">
        <v>45833</v>
      </c>
      <c r="H45" s="13" t="inlineStr">
        <is>
          <t>Active</t>
        </is>
      </c>
      <c r="I45" s="13" t="inlineStr"/>
      <c r="J45" s="13" t="n">
        <v>44</v>
      </c>
      <c r="K45" s="22">
        <f>IF(H45="Resigned",(I45-G45),(TODAY()-G45))/30.437</f>
        <v/>
      </c>
      <c r="L45" s="12">
        <f>IF(K45&lt;3,"0-3 months",IF(K45&lt;6,"3-6 months",IF(K45&lt;12,"6-12 months","12+ months")))</f>
        <v/>
      </c>
      <c r="M45" s="23" t="n">
        <v>18500</v>
      </c>
    </row>
    <row r="46">
      <c r="A46" s="10" t="inlineStr">
        <is>
          <t>E3042</t>
        </is>
      </c>
      <c r="B46" s="9" t="inlineStr">
        <is>
          <t>Sanele Fourie</t>
        </is>
      </c>
      <c r="C46" s="10" t="inlineStr">
        <is>
          <t>Female</t>
        </is>
      </c>
      <c r="D46" s="9" t="inlineStr">
        <is>
          <t>Sales</t>
        </is>
      </c>
      <c r="E46" s="9" t="inlineStr">
        <is>
          <t>ABSA Collections</t>
        </is>
      </c>
      <c r="F46" s="9" t="inlineStr">
        <is>
          <t>Johannesburg</t>
        </is>
      </c>
      <c r="G46" s="24" t="n">
        <v>45756</v>
      </c>
      <c r="H46" s="10" t="inlineStr">
        <is>
          <t>Active</t>
        </is>
      </c>
      <c r="I46" s="10" t="inlineStr"/>
      <c r="J46" s="10" t="n">
        <v>47</v>
      </c>
      <c r="K46" s="25">
        <f>IF(H46="Resigned",(I46-G46),(TODAY()-G46))/30.437</f>
        <v/>
      </c>
      <c r="L46" s="9">
        <f>IF(K46&lt;3,"0-3 months",IF(K46&lt;6,"3-6 months",IF(K46&lt;12,"6-12 months","12+ months")))</f>
        <v/>
      </c>
      <c r="M46" s="26" t="n">
        <v>39000</v>
      </c>
    </row>
    <row r="47">
      <c r="A47" s="13" t="inlineStr">
        <is>
          <t>E3043</t>
        </is>
      </c>
      <c r="B47" s="12" t="inlineStr">
        <is>
          <t>Lerato Nkosi</t>
        </is>
      </c>
      <c r="C47" s="13" t="inlineStr">
        <is>
          <t>Male</t>
        </is>
      </c>
      <c r="D47" s="12" t="inlineStr">
        <is>
          <t>IT Support</t>
        </is>
      </c>
      <c r="E47" s="12" t="inlineStr">
        <is>
          <t>Standard Bank Helpdesk</t>
        </is>
      </c>
      <c r="F47" s="12" t="inlineStr">
        <is>
          <t>Port Elizabeth</t>
        </is>
      </c>
      <c r="G47" s="21" t="n">
        <v>46093</v>
      </c>
      <c r="H47" s="13" t="inlineStr">
        <is>
          <t>Active</t>
        </is>
      </c>
      <c r="I47" s="13" t="inlineStr"/>
      <c r="J47" s="13" t="n">
        <v>43</v>
      </c>
      <c r="K47" s="22">
        <f>IF(H47="Resigned",(I47-G47),(TODAY()-G47))/30.437</f>
        <v/>
      </c>
      <c r="L47" s="12">
        <f>IF(K47&lt;3,"0-3 months",IF(K47&lt;6,"3-6 months",IF(K47&lt;12,"6-12 months","12+ months")))</f>
        <v/>
      </c>
      <c r="M47" s="23" t="n">
        <v>16500</v>
      </c>
    </row>
    <row r="48">
      <c r="A48" s="10" t="inlineStr">
        <is>
          <t>E3044</t>
        </is>
      </c>
      <c r="B48" s="9" t="inlineStr">
        <is>
          <t>Mandla Molefe</t>
        </is>
      </c>
      <c r="C48" s="10" t="inlineStr">
        <is>
          <t>Female</t>
        </is>
      </c>
      <c r="D48" s="9" t="inlineStr">
        <is>
          <t>Admin</t>
        </is>
      </c>
      <c r="E48" s="9" t="inlineStr">
        <is>
          <t>Telkom Tech Support</t>
        </is>
      </c>
      <c r="F48" s="9" t="inlineStr">
        <is>
          <t>Port Elizabeth</t>
        </is>
      </c>
      <c r="G48" s="24" t="n">
        <v>45607</v>
      </c>
      <c r="H48" s="10" t="inlineStr">
        <is>
          <t>Active</t>
        </is>
      </c>
      <c r="I48" s="10" t="inlineStr"/>
      <c r="J48" s="10" t="n">
        <v>49</v>
      </c>
      <c r="K48" s="25">
        <f>IF(H48="Resigned",(I48-G48),(TODAY()-G48))/30.437</f>
        <v/>
      </c>
      <c r="L48" s="9">
        <f>IF(K48&lt;3,"0-3 months",IF(K48&lt;6,"3-6 months",IF(K48&lt;12,"6-12 months","12+ months")))</f>
        <v/>
      </c>
      <c r="M48" s="26" t="n">
        <v>13500</v>
      </c>
    </row>
    <row r="49">
      <c r="A49" s="13" t="inlineStr">
        <is>
          <t>E3045</t>
        </is>
      </c>
      <c r="B49" s="12" t="inlineStr">
        <is>
          <t>Lwazi Ngcobo</t>
        </is>
      </c>
      <c r="C49" s="13" t="inlineStr">
        <is>
          <t>Female</t>
        </is>
      </c>
      <c r="D49" s="12" t="inlineStr">
        <is>
          <t>Sales</t>
        </is>
      </c>
      <c r="E49" s="12" t="inlineStr">
        <is>
          <t>Telkom Tech Support</t>
        </is>
      </c>
      <c r="F49" s="12" t="inlineStr">
        <is>
          <t>Port Elizabeth</t>
        </is>
      </c>
      <c r="G49" s="21" t="n">
        <v>45980</v>
      </c>
      <c r="H49" s="13" t="inlineStr">
        <is>
          <t>Active</t>
        </is>
      </c>
      <c r="I49" s="13" t="inlineStr"/>
      <c r="J49" s="13" t="n">
        <v>41</v>
      </c>
      <c r="K49" s="22">
        <f>IF(H49="Resigned",(I49-G49),(TODAY()-G49))/30.437</f>
        <v/>
      </c>
      <c r="L49" s="12">
        <f>IF(K49&lt;3,"0-3 months",IF(K49&lt;6,"3-6 months",IF(K49&lt;12,"6-12 months","12+ months")))</f>
        <v/>
      </c>
      <c r="M49" s="23" t="n">
        <v>16500</v>
      </c>
    </row>
    <row r="50">
      <c r="A50" s="10" t="inlineStr">
        <is>
          <t>E3046</t>
        </is>
      </c>
      <c r="B50" s="9" t="inlineStr">
        <is>
          <t>Amahle Van Wyk</t>
        </is>
      </c>
      <c r="C50" s="10" t="inlineStr">
        <is>
          <t>Male</t>
        </is>
      </c>
      <c r="D50" s="9" t="inlineStr">
        <is>
          <t>Team Leaders</t>
        </is>
      </c>
      <c r="E50" s="9" t="inlineStr">
        <is>
          <t>Vodacom Upgrades</t>
        </is>
      </c>
      <c r="F50" s="9" t="inlineStr">
        <is>
          <t>Port Elizabeth</t>
        </is>
      </c>
      <c r="G50" s="24" t="n">
        <v>45845</v>
      </c>
      <c r="H50" s="10" t="inlineStr">
        <is>
          <t>Active</t>
        </is>
      </c>
      <c r="I50" s="10" t="inlineStr"/>
      <c r="J50" s="10" t="n">
        <v>26</v>
      </c>
      <c r="K50" s="25">
        <f>IF(H50="Resigned",(I50-G50),(TODAY()-G50))/30.437</f>
        <v/>
      </c>
      <c r="L50" s="9">
        <f>IF(K50&lt;3,"0-3 months",IF(K50&lt;6,"3-6 months",IF(K50&lt;12,"6-12 months","12+ months")))</f>
        <v/>
      </c>
      <c r="M50" s="26" t="n">
        <v>15000</v>
      </c>
    </row>
    <row r="51">
      <c r="A51" s="13" t="inlineStr">
        <is>
          <t>E3047</t>
        </is>
      </c>
      <c r="B51" s="12" t="inlineStr">
        <is>
          <t>Keabetswe Nel</t>
        </is>
      </c>
      <c r="C51" s="13" t="inlineStr">
        <is>
          <t>Female</t>
        </is>
      </c>
      <c r="D51" s="12" t="inlineStr">
        <is>
          <t>Training</t>
        </is>
      </c>
      <c r="E51" s="12" t="inlineStr">
        <is>
          <t>Takealot Care</t>
        </is>
      </c>
      <c r="F51" s="12" t="inlineStr">
        <is>
          <t>Cape Town</t>
        </is>
      </c>
      <c r="G51" s="21" t="n">
        <v>46093</v>
      </c>
      <c r="H51" s="13" t="inlineStr">
        <is>
          <t>Active</t>
        </is>
      </c>
      <c r="I51" s="13" t="inlineStr"/>
      <c r="J51" s="13" t="n">
        <v>41</v>
      </c>
      <c r="K51" s="22">
        <f>IF(H51="Resigned",(I51-G51),(TODAY()-G51))/30.437</f>
        <v/>
      </c>
      <c r="L51" s="12">
        <f>IF(K51&lt;3,"0-3 months",IF(K51&lt;6,"3-6 months",IF(K51&lt;12,"6-12 months","12+ months")))</f>
        <v/>
      </c>
      <c r="M51" s="23" t="n">
        <v>28000</v>
      </c>
    </row>
    <row r="52">
      <c r="A52" s="10" t="inlineStr">
        <is>
          <t>E3048</t>
        </is>
      </c>
      <c r="B52" s="9" t="inlineStr">
        <is>
          <t>Neo Zulu</t>
        </is>
      </c>
      <c r="C52" s="10" t="inlineStr">
        <is>
          <t>Male</t>
        </is>
      </c>
      <c r="D52" s="9" t="inlineStr">
        <is>
          <t>IT Support</t>
        </is>
      </c>
      <c r="E52" s="9" t="inlineStr">
        <is>
          <t>Standard Bank Helpdesk</t>
        </is>
      </c>
      <c r="F52" s="9" t="inlineStr">
        <is>
          <t>Cape Town</t>
        </is>
      </c>
      <c r="G52" s="24" t="n">
        <v>45792</v>
      </c>
      <c r="H52" s="10" t="inlineStr">
        <is>
          <t>Active</t>
        </is>
      </c>
      <c r="I52" s="10" t="inlineStr"/>
      <c r="J52" s="10" t="n">
        <v>51</v>
      </c>
      <c r="K52" s="25">
        <f>IF(H52="Resigned",(I52-G52),(TODAY()-G52))/30.437</f>
        <v/>
      </c>
      <c r="L52" s="9">
        <f>IF(K52&lt;3,"0-3 months",IF(K52&lt;6,"3-6 months",IF(K52&lt;12,"6-12 months","12+ months")))</f>
        <v/>
      </c>
      <c r="M52" s="26" t="n">
        <v>16500</v>
      </c>
    </row>
    <row r="53">
      <c r="A53" s="13" t="inlineStr">
        <is>
          <t>E3049</t>
        </is>
      </c>
      <c r="B53" s="12" t="inlineStr">
        <is>
          <t>Amahle Cele</t>
        </is>
      </c>
      <c r="C53" s="13" t="inlineStr">
        <is>
          <t>Male</t>
        </is>
      </c>
      <c r="D53" s="12" t="inlineStr">
        <is>
          <t>Training</t>
        </is>
      </c>
      <c r="E53" s="12" t="inlineStr">
        <is>
          <t>DStv Upsell</t>
        </is>
      </c>
      <c r="F53" s="12" t="inlineStr">
        <is>
          <t>Pretoria</t>
        </is>
      </c>
      <c r="G53" s="21" t="n">
        <v>44865</v>
      </c>
      <c r="H53" s="13" t="inlineStr">
        <is>
          <t>Active</t>
        </is>
      </c>
      <c r="I53" s="13" t="inlineStr"/>
      <c r="J53" s="13" t="n">
        <v>32</v>
      </c>
      <c r="K53" s="22">
        <f>IF(H53="Resigned",(I53-G53),(TODAY()-G53))/30.437</f>
        <v/>
      </c>
      <c r="L53" s="12">
        <f>IF(K53&lt;3,"0-3 months",IF(K53&lt;6,"3-6 months",IF(K53&lt;12,"6-12 months","12+ months")))</f>
        <v/>
      </c>
      <c r="M53" s="23" t="n">
        <v>13500</v>
      </c>
    </row>
    <row r="54">
      <c r="A54" s="10" t="inlineStr">
        <is>
          <t>E3050</t>
        </is>
      </c>
      <c r="B54" s="9" t="inlineStr">
        <is>
          <t>Lerato Buthelezi</t>
        </is>
      </c>
      <c r="C54" s="10" t="inlineStr">
        <is>
          <t>Female</t>
        </is>
      </c>
      <c r="D54" s="9" t="inlineStr">
        <is>
          <t>Training</t>
        </is>
      </c>
      <c r="E54" s="9" t="inlineStr">
        <is>
          <t>Standard Bank Helpdesk</t>
        </is>
      </c>
      <c r="F54" s="9" t="inlineStr">
        <is>
          <t>Port Elizabeth</t>
        </is>
      </c>
      <c r="G54" s="24" t="n">
        <v>45654</v>
      </c>
      <c r="H54" s="10" t="inlineStr">
        <is>
          <t>Active</t>
        </is>
      </c>
      <c r="I54" s="10" t="inlineStr"/>
      <c r="J54" s="10" t="n">
        <v>44</v>
      </c>
      <c r="K54" s="25">
        <f>IF(H54="Resigned",(I54-G54),(TODAY()-G54))/30.437</f>
        <v/>
      </c>
      <c r="L54" s="9">
        <f>IF(K54&lt;3,"0-3 months",IF(K54&lt;6,"3-6 months",IF(K54&lt;12,"6-12 months","12+ months")))</f>
        <v/>
      </c>
      <c r="M54" s="26" t="n">
        <v>28000</v>
      </c>
    </row>
    <row r="55">
      <c r="A55" s="13" t="inlineStr">
        <is>
          <t>E3051</t>
        </is>
      </c>
      <c r="B55" s="12" t="inlineStr">
        <is>
          <t>Thabo Govender</t>
        </is>
      </c>
      <c r="C55" s="13" t="inlineStr">
        <is>
          <t>Male</t>
        </is>
      </c>
      <c r="D55" s="12" t="inlineStr">
        <is>
          <t>Customer Care</t>
        </is>
      </c>
      <c r="E55" s="12" t="inlineStr">
        <is>
          <t>Shoprite Surveys</t>
        </is>
      </c>
      <c r="F55" s="12" t="inlineStr">
        <is>
          <t>Johannesburg</t>
        </is>
      </c>
      <c r="G55" s="21" t="n">
        <v>45798</v>
      </c>
      <c r="H55" s="13" t="inlineStr">
        <is>
          <t>Active</t>
        </is>
      </c>
      <c r="I55" s="13" t="inlineStr"/>
      <c r="J55" s="13" t="n">
        <v>53</v>
      </c>
      <c r="K55" s="22">
        <f>IF(H55="Resigned",(I55-G55),(TODAY()-G55))/30.437</f>
        <v/>
      </c>
      <c r="L55" s="12">
        <f>IF(K55&lt;3,"0-3 months",IF(K55&lt;6,"3-6 months",IF(K55&lt;12,"6-12 months","12+ months")))</f>
        <v/>
      </c>
      <c r="M55" s="23" t="n">
        <v>28000</v>
      </c>
    </row>
    <row r="56">
      <c r="A56" s="10" t="inlineStr">
        <is>
          <t>E3052</t>
        </is>
      </c>
      <c r="B56" s="9" t="inlineStr">
        <is>
          <t>Neo Maseko</t>
        </is>
      </c>
      <c r="C56" s="10" t="inlineStr">
        <is>
          <t>Male</t>
        </is>
      </c>
      <c r="D56" s="9" t="inlineStr">
        <is>
          <t>Sales</t>
        </is>
      </c>
      <c r="E56" s="9" t="inlineStr">
        <is>
          <t>Vodacom Upgrades</t>
        </is>
      </c>
      <c r="F56" s="9" t="inlineStr">
        <is>
          <t>Cape Town</t>
        </is>
      </c>
      <c r="G56" s="24" t="n">
        <v>45713</v>
      </c>
      <c r="H56" s="10" t="inlineStr">
        <is>
          <t>Active</t>
        </is>
      </c>
      <c r="I56" s="10" t="inlineStr"/>
      <c r="J56" s="10" t="n">
        <v>47</v>
      </c>
      <c r="K56" s="25">
        <f>IF(H56="Resigned",(I56-G56),(TODAY()-G56))/30.437</f>
        <v/>
      </c>
      <c r="L56" s="9">
        <f>IF(K56&lt;3,"0-3 months",IF(K56&lt;6,"3-6 months",IF(K56&lt;12,"6-12 months","12+ months")))</f>
        <v/>
      </c>
      <c r="M56" s="26" t="n">
        <v>15000</v>
      </c>
    </row>
    <row r="57">
      <c r="A57" s="13" t="inlineStr">
        <is>
          <t>E3053</t>
        </is>
      </c>
      <c r="B57" s="12" t="inlineStr">
        <is>
          <t>Nokuthula Zulu</t>
        </is>
      </c>
      <c r="C57" s="13" t="inlineStr">
        <is>
          <t>Male</t>
        </is>
      </c>
      <c r="D57" s="12" t="inlineStr">
        <is>
          <t>Customer Care</t>
        </is>
      </c>
      <c r="E57" s="12" t="inlineStr">
        <is>
          <t>DStv Upsell</t>
        </is>
      </c>
      <c r="F57" s="12" t="inlineStr">
        <is>
          <t>Port Elizabeth</t>
        </is>
      </c>
      <c r="G57" s="21" t="n">
        <v>46102</v>
      </c>
      <c r="H57" s="13" t="inlineStr">
        <is>
          <t>Resigned</t>
        </is>
      </c>
      <c r="I57" s="21" t="n">
        <v>46203</v>
      </c>
      <c r="J57" s="13" t="n">
        <v>39</v>
      </c>
      <c r="K57" s="22">
        <f>IF(H57="Resigned",(I57-G57),(TODAY()-G57))/30.437</f>
        <v/>
      </c>
      <c r="L57" s="12">
        <f>IF(K57&lt;3,"0-3 months",IF(K57&lt;6,"3-6 months",IF(K57&lt;12,"6-12 months","12+ months")))</f>
        <v/>
      </c>
      <c r="M57" s="23" t="n">
        <v>24000</v>
      </c>
    </row>
    <row r="58">
      <c r="A58" s="10" t="inlineStr">
        <is>
          <t>E3054</t>
        </is>
      </c>
      <c r="B58" s="9" t="inlineStr">
        <is>
          <t>Boitumelo Mahlangu</t>
        </is>
      </c>
      <c r="C58" s="10" t="inlineStr">
        <is>
          <t>Male</t>
        </is>
      </c>
      <c r="D58" s="9" t="inlineStr">
        <is>
          <t>Admin</t>
        </is>
      </c>
      <c r="E58" s="9" t="inlineStr">
        <is>
          <t>OUTsurance Sales</t>
        </is>
      </c>
      <c r="F58" s="9" t="inlineStr">
        <is>
          <t>Pretoria</t>
        </is>
      </c>
      <c r="G58" s="24" t="n">
        <v>45966</v>
      </c>
      <c r="H58" s="10" t="inlineStr">
        <is>
          <t>Resigned</t>
        </is>
      </c>
      <c r="I58" s="24" t="n">
        <v>46098</v>
      </c>
      <c r="J58" s="10" t="n">
        <v>30</v>
      </c>
      <c r="K58" s="25">
        <f>IF(H58="Resigned",(I58-G58),(TODAY()-G58))/30.437</f>
        <v/>
      </c>
      <c r="L58" s="9">
        <f>IF(K58&lt;3,"0-3 months",IF(K58&lt;6,"3-6 months",IF(K58&lt;12,"6-12 months","12+ months")))</f>
        <v/>
      </c>
      <c r="M58" s="26" t="n">
        <v>15000</v>
      </c>
    </row>
    <row r="59">
      <c r="A59" s="13" t="inlineStr">
        <is>
          <t>E3055</t>
        </is>
      </c>
      <c r="B59" s="12" t="inlineStr">
        <is>
          <t>Boitumelo Petersen</t>
        </is>
      </c>
      <c r="C59" s="13" t="inlineStr">
        <is>
          <t>Male</t>
        </is>
      </c>
      <c r="D59" s="12" t="inlineStr">
        <is>
          <t>Sales</t>
        </is>
      </c>
      <c r="E59" s="12" t="inlineStr">
        <is>
          <t>OUTsurance Sales</t>
        </is>
      </c>
      <c r="F59" s="12" t="inlineStr">
        <is>
          <t>Cape Town</t>
        </is>
      </c>
      <c r="G59" s="21" t="n">
        <v>45801</v>
      </c>
      <c r="H59" s="13" t="inlineStr">
        <is>
          <t>Active</t>
        </is>
      </c>
      <c r="I59" s="13" t="inlineStr"/>
      <c r="J59" s="13" t="n">
        <v>43</v>
      </c>
      <c r="K59" s="22">
        <f>IF(H59="Resigned",(I59-G59),(TODAY()-G59))/30.437</f>
        <v/>
      </c>
      <c r="L59" s="12">
        <f>IF(K59&lt;3,"0-3 months",IF(K59&lt;6,"3-6 months",IF(K59&lt;12,"6-12 months","12+ months")))</f>
        <v/>
      </c>
      <c r="M59" s="23" t="n">
        <v>15000</v>
      </c>
    </row>
    <row r="60">
      <c r="A60" s="10" t="inlineStr">
        <is>
          <t>E3056</t>
        </is>
      </c>
      <c r="B60" s="9" t="inlineStr">
        <is>
          <t>Lindiwe Mahlangu</t>
        </is>
      </c>
      <c r="C60" s="10" t="inlineStr">
        <is>
          <t>Female</t>
        </is>
      </c>
      <c r="D60" s="9" t="inlineStr">
        <is>
          <t>Quality</t>
        </is>
      </c>
      <c r="E60" s="9" t="inlineStr">
        <is>
          <t>Telkom Tech Support</t>
        </is>
      </c>
      <c r="F60" s="9" t="inlineStr">
        <is>
          <t>Durban</t>
        </is>
      </c>
      <c r="G60" s="24" t="n">
        <v>45969</v>
      </c>
      <c r="H60" s="10" t="inlineStr">
        <is>
          <t>Active</t>
        </is>
      </c>
      <c r="I60" s="10" t="inlineStr"/>
      <c r="J60" s="10" t="n">
        <v>55</v>
      </c>
      <c r="K60" s="25">
        <f>IF(H60="Resigned",(I60-G60),(TODAY()-G60))/30.437</f>
        <v/>
      </c>
      <c r="L60" s="9">
        <f>IF(K60&lt;3,"0-3 months",IF(K60&lt;6,"3-6 months",IF(K60&lt;12,"6-12 months","12+ months")))</f>
        <v/>
      </c>
      <c r="M60" s="26" t="n">
        <v>18500</v>
      </c>
    </row>
    <row r="61">
      <c r="A61" s="13" t="inlineStr">
        <is>
          <t>E3057</t>
        </is>
      </c>
      <c r="B61" s="12" t="inlineStr">
        <is>
          <t>Ntombizodwa Mokoena</t>
        </is>
      </c>
      <c r="C61" s="13" t="inlineStr">
        <is>
          <t>Male</t>
        </is>
      </c>
      <c r="D61" s="12" t="inlineStr">
        <is>
          <t>Admin</t>
        </is>
      </c>
      <c r="E61" s="12" t="inlineStr">
        <is>
          <t>Vodacom Upgrades</t>
        </is>
      </c>
      <c r="F61" s="12" t="inlineStr">
        <is>
          <t>Cape Town</t>
        </is>
      </c>
      <c r="G61" s="21" t="n">
        <v>45110</v>
      </c>
      <c r="H61" s="13" t="inlineStr">
        <is>
          <t>Active</t>
        </is>
      </c>
      <c r="I61" s="13" t="inlineStr"/>
      <c r="J61" s="13" t="n">
        <v>54</v>
      </c>
      <c r="K61" s="22">
        <f>IF(H61="Resigned",(I61-G61),(TODAY()-G61))/30.437</f>
        <v/>
      </c>
      <c r="L61" s="12">
        <f>IF(K61&lt;3,"0-3 months",IF(K61&lt;6,"3-6 months",IF(K61&lt;12,"6-12 months","12+ months")))</f>
        <v/>
      </c>
      <c r="M61" s="23" t="n">
        <v>28000</v>
      </c>
    </row>
    <row r="62">
      <c r="A62" s="10" t="inlineStr">
        <is>
          <t>E3058</t>
        </is>
      </c>
      <c r="B62" s="9" t="inlineStr">
        <is>
          <t>Amahle Motaung</t>
        </is>
      </c>
      <c r="C62" s="10" t="inlineStr">
        <is>
          <t>Female</t>
        </is>
      </c>
      <c r="D62" s="9" t="inlineStr">
        <is>
          <t>Team Leaders</t>
        </is>
      </c>
      <c r="E62" s="9" t="inlineStr">
        <is>
          <t>ABSA Collections</t>
        </is>
      </c>
      <c r="F62" s="9" t="inlineStr">
        <is>
          <t>Pretoria</t>
        </is>
      </c>
      <c r="G62" s="24" t="n">
        <v>45462</v>
      </c>
      <c r="H62" s="10" t="inlineStr">
        <is>
          <t>Active</t>
        </is>
      </c>
      <c r="I62" s="10" t="inlineStr"/>
      <c r="J62" s="10" t="n">
        <v>54</v>
      </c>
      <c r="K62" s="25">
        <f>IF(H62="Resigned",(I62-G62),(TODAY()-G62))/30.437</f>
        <v/>
      </c>
      <c r="L62" s="9">
        <f>IF(K62&lt;3,"0-3 months",IF(K62&lt;6,"3-6 months",IF(K62&lt;12,"6-12 months","12+ months")))</f>
        <v/>
      </c>
      <c r="M62" s="26" t="n">
        <v>13500</v>
      </c>
    </row>
    <row r="63">
      <c r="A63" s="13" t="inlineStr">
        <is>
          <t>E3059</t>
        </is>
      </c>
      <c r="B63" s="12" t="inlineStr">
        <is>
          <t>Vusi Maseko</t>
        </is>
      </c>
      <c r="C63" s="13" t="inlineStr">
        <is>
          <t>Female</t>
        </is>
      </c>
      <c r="D63" s="12" t="inlineStr">
        <is>
          <t>Team Leaders</t>
        </is>
      </c>
      <c r="E63" s="12" t="inlineStr">
        <is>
          <t>Cell C Winback</t>
        </is>
      </c>
      <c r="F63" s="12" t="inlineStr">
        <is>
          <t>Durban</t>
        </is>
      </c>
      <c r="G63" s="21" t="n">
        <v>45898</v>
      </c>
      <c r="H63" s="13" t="inlineStr">
        <is>
          <t>Active</t>
        </is>
      </c>
      <c r="I63" s="13" t="inlineStr"/>
      <c r="J63" s="13" t="n">
        <v>40</v>
      </c>
      <c r="K63" s="22">
        <f>IF(H63="Resigned",(I63-G63),(TODAY()-G63))/30.437</f>
        <v/>
      </c>
      <c r="L63" s="12">
        <f>IF(K63&lt;3,"0-3 months",IF(K63&lt;6,"3-6 months",IF(K63&lt;12,"6-12 months","12+ months")))</f>
        <v/>
      </c>
      <c r="M63" s="23" t="n">
        <v>13500</v>
      </c>
    </row>
    <row r="64">
      <c r="A64" s="10" t="inlineStr">
        <is>
          <t>E3060</t>
        </is>
      </c>
      <c r="B64" s="9" t="inlineStr">
        <is>
          <t>Wandile Sithole</t>
        </is>
      </c>
      <c r="C64" s="10" t="inlineStr">
        <is>
          <t>Male</t>
        </is>
      </c>
      <c r="D64" s="9" t="inlineStr">
        <is>
          <t>Admin</t>
        </is>
      </c>
      <c r="E64" s="9" t="inlineStr">
        <is>
          <t>Cell C Winback</t>
        </is>
      </c>
      <c r="F64" s="9" t="inlineStr">
        <is>
          <t>Pretoria</t>
        </is>
      </c>
      <c r="G64" s="24" t="n">
        <v>45524</v>
      </c>
      <c r="H64" s="10" t="inlineStr">
        <is>
          <t>Active</t>
        </is>
      </c>
      <c r="I64" s="10" t="inlineStr"/>
      <c r="J64" s="10" t="n">
        <v>39</v>
      </c>
      <c r="K64" s="25">
        <f>IF(H64="Resigned",(I64-G64),(TODAY()-G64))/30.437</f>
        <v/>
      </c>
      <c r="L64" s="9">
        <f>IF(K64&lt;3,"0-3 months",IF(K64&lt;6,"3-6 months",IF(K64&lt;12,"6-12 months","12+ months")))</f>
        <v/>
      </c>
      <c r="M64" s="26" t="n">
        <v>18500</v>
      </c>
    </row>
    <row r="65">
      <c r="A65" s="13" t="inlineStr">
        <is>
          <t>E3061</t>
        </is>
      </c>
      <c r="B65" s="12" t="inlineStr">
        <is>
          <t>Tumelo Naidoo</t>
        </is>
      </c>
      <c r="C65" s="13" t="inlineStr">
        <is>
          <t>Male</t>
        </is>
      </c>
      <c r="D65" s="12" t="inlineStr">
        <is>
          <t>Operations</t>
        </is>
      </c>
      <c r="E65" s="12" t="inlineStr">
        <is>
          <t>Vodacom Upgrades</t>
        </is>
      </c>
      <c r="F65" s="12" t="inlineStr">
        <is>
          <t>Johannesburg</t>
        </is>
      </c>
      <c r="G65" s="21" t="n">
        <v>46022</v>
      </c>
      <c r="H65" s="13" t="inlineStr">
        <is>
          <t>Active</t>
        </is>
      </c>
      <c r="I65" s="13" t="inlineStr"/>
      <c r="J65" s="13" t="n">
        <v>49</v>
      </c>
      <c r="K65" s="22">
        <f>IF(H65="Resigned",(I65-G65),(TODAY()-G65))/30.437</f>
        <v/>
      </c>
      <c r="L65" s="12">
        <f>IF(K65&lt;3,"0-3 months",IF(K65&lt;6,"3-6 months",IF(K65&lt;12,"6-12 months","12+ months")))</f>
        <v/>
      </c>
      <c r="M65" s="23" t="n">
        <v>21000</v>
      </c>
    </row>
    <row r="66">
      <c r="A66" s="10" t="inlineStr">
        <is>
          <t>E3062</t>
        </is>
      </c>
      <c r="B66" s="9" t="inlineStr">
        <is>
          <t>Tumelo Ndlovu</t>
        </is>
      </c>
      <c r="C66" s="10" t="inlineStr">
        <is>
          <t>Male</t>
        </is>
      </c>
      <c r="D66" s="9" t="inlineStr">
        <is>
          <t>Admin</t>
        </is>
      </c>
      <c r="E66" s="9" t="inlineStr">
        <is>
          <t>Takealot Care</t>
        </is>
      </c>
      <c r="F66" s="9" t="inlineStr">
        <is>
          <t>Cape Town</t>
        </is>
      </c>
      <c r="G66" s="24" t="n">
        <v>45190</v>
      </c>
      <c r="H66" s="10" t="inlineStr">
        <is>
          <t>Resigned</t>
        </is>
      </c>
      <c r="I66" s="24" t="n">
        <v>45667</v>
      </c>
      <c r="J66" s="10" t="n">
        <v>47</v>
      </c>
      <c r="K66" s="25">
        <f>IF(H66="Resigned",(I66-G66),(TODAY()-G66))/30.437</f>
        <v/>
      </c>
      <c r="L66" s="9">
        <f>IF(K66&lt;3,"0-3 months",IF(K66&lt;6,"3-6 months",IF(K66&lt;12,"6-12 months","12+ months")))</f>
        <v/>
      </c>
      <c r="M66" s="26" t="n">
        <v>18500</v>
      </c>
    </row>
    <row r="67">
      <c r="A67" s="13" t="inlineStr">
        <is>
          <t>E3063</t>
        </is>
      </c>
      <c r="B67" s="12" t="inlineStr">
        <is>
          <t>Mpho Sithole</t>
        </is>
      </c>
      <c r="C67" s="13" t="inlineStr">
        <is>
          <t>Male</t>
        </is>
      </c>
      <c r="D67" s="12" t="inlineStr">
        <is>
          <t>Training</t>
        </is>
      </c>
      <c r="E67" s="12" t="inlineStr">
        <is>
          <t>MTN Retentions</t>
        </is>
      </c>
      <c r="F67" s="12" t="inlineStr">
        <is>
          <t>Pretoria</t>
        </is>
      </c>
      <c r="G67" s="21" t="n">
        <v>46120</v>
      </c>
      <c r="H67" s="13" t="inlineStr">
        <is>
          <t>Active</t>
        </is>
      </c>
      <c r="I67" s="13" t="inlineStr"/>
      <c r="J67" s="13" t="n">
        <v>33</v>
      </c>
      <c r="K67" s="22">
        <f>IF(H67="Resigned",(I67-G67),(TODAY()-G67))/30.437</f>
        <v/>
      </c>
      <c r="L67" s="12">
        <f>IF(K67&lt;3,"0-3 months",IF(K67&lt;6,"3-6 months",IF(K67&lt;12,"6-12 months","12+ months")))</f>
        <v/>
      </c>
      <c r="M67" s="23" t="n">
        <v>18500</v>
      </c>
    </row>
    <row r="68">
      <c r="A68" s="10" t="inlineStr">
        <is>
          <t>E3064</t>
        </is>
      </c>
      <c r="B68" s="9" t="inlineStr">
        <is>
          <t>Tumelo Buthelezi</t>
        </is>
      </c>
      <c r="C68" s="10" t="inlineStr">
        <is>
          <t>Female</t>
        </is>
      </c>
      <c r="D68" s="9" t="inlineStr">
        <is>
          <t>Operations</t>
        </is>
      </c>
      <c r="E68" s="9" t="inlineStr">
        <is>
          <t>ABSA Collections</t>
        </is>
      </c>
      <c r="F68" s="9" t="inlineStr">
        <is>
          <t>Pretoria</t>
        </is>
      </c>
      <c r="G68" s="24" t="n">
        <v>45205</v>
      </c>
      <c r="H68" s="10" t="inlineStr">
        <is>
          <t>Active</t>
        </is>
      </c>
      <c r="I68" s="10" t="inlineStr"/>
      <c r="J68" s="10" t="n">
        <v>43</v>
      </c>
      <c r="K68" s="25">
        <f>IF(H68="Resigned",(I68-G68),(TODAY()-G68))/30.437</f>
        <v/>
      </c>
      <c r="L68" s="9">
        <f>IF(K68&lt;3,"0-3 months",IF(K68&lt;6,"3-6 months",IF(K68&lt;12,"6-12 months","12+ months")))</f>
        <v/>
      </c>
      <c r="M68" s="26" t="n">
        <v>28000</v>
      </c>
    </row>
    <row r="69">
      <c r="A69" s="13" t="inlineStr">
        <is>
          <t>E3065</t>
        </is>
      </c>
      <c r="B69" s="12" t="inlineStr">
        <is>
          <t>Naledi Adams</t>
        </is>
      </c>
      <c r="C69" s="13" t="inlineStr">
        <is>
          <t>Female</t>
        </is>
      </c>
      <c r="D69" s="12" t="inlineStr">
        <is>
          <t>IT Support</t>
        </is>
      </c>
      <c r="E69" s="12" t="inlineStr">
        <is>
          <t>Discovery Lead Gen</t>
        </is>
      </c>
      <c r="F69" s="12" t="inlineStr">
        <is>
          <t>Pretoria</t>
        </is>
      </c>
      <c r="G69" s="21" t="n">
        <v>45651</v>
      </c>
      <c r="H69" s="13" t="inlineStr">
        <is>
          <t>Active</t>
        </is>
      </c>
      <c r="I69" s="13" t="inlineStr"/>
      <c r="J69" s="13" t="n">
        <v>39</v>
      </c>
      <c r="K69" s="22">
        <f>IF(H69="Resigned",(I69-G69),(TODAY()-G69))/30.437</f>
        <v/>
      </c>
      <c r="L69" s="12">
        <f>IF(K69&lt;3,"0-3 months",IF(K69&lt;6,"3-6 months",IF(K69&lt;12,"6-12 months","12+ months")))</f>
        <v/>
      </c>
      <c r="M69" s="23" t="n">
        <v>24000</v>
      </c>
    </row>
    <row r="70">
      <c r="A70" s="10" t="inlineStr">
        <is>
          <t>E3066</t>
        </is>
      </c>
      <c r="B70" s="9" t="inlineStr">
        <is>
          <t>Amahle Van Wyk</t>
        </is>
      </c>
      <c r="C70" s="10" t="inlineStr">
        <is>
          <t>Female</t>
        </is>
      </c>
      <c r="D70" s="9" t="inlineStr">
        <is>
          <t>Sales</t>
        </is>
      </c>
      <c r="E70" s="9" t="inlineStr">
        <is>
          <t>Vodacom Upgrades</t>
        </is>
      </c>
      <c r="F70" s="9" t="inlineStr">
        <is>
          <t>Johannesburg</t>
        </is>
      </c>
      <c r="G70" s="24" t="n">
        <v>45703</v>
      </c>
      <c r="H70" s="10" t="inlineStr">
        <is>
          <t>Active</t>
        </is>
      </c>
      <c r="I70" s="10" t="inlineStr"/>
      <c r="J70" s="10" t="n">
        <v>38</v>
      </c>
      <c r="K70" s="25">
        <f>IF(H70="Resigned",(I70-G70),(TODAY()-G70))/30.437</f>
        <v/>
      </c>
      <c r="L70" s="9">
        <f>IF(K70&lt;3,"0-3 months",IF(K70&lt;6,"3-6 months",IF(K70&lt;12,"6-12 months","12+ months")))</f>
        <v/>
      </c>
      <c r="M70" s="26" t="n">
        <v>13500</v>
      </c>
    </row>
    <row r="71">
      <c r="A71" s="13" t="inlineStr">
        <is>
          <t>E3067</t>
        </is>
      </c>
      <c r="B71" s="12" t="inlineStr">
        <is>
          <t>Bandile Meyer</t>
        </is>
      </c>
      <c r="C71" s="13" t="inlineStr">
        <is>
          <t>Male</t>
        </is>
      </c>
      <c r="D71" s="12" t="inlineStr">
        <is>
          <t>Training</t>
        </is>
      </c>
      <c r="E71" s="12" t="inlineStr">
        <is>
          <t>DStv Upsell</t>
        </is>
      </c>
      <c r="F71" s="12" t="inlineStr">
        <is>
          <t>Johannesburg</t>
        </is>
      </c>
      <c r="G71" s="21" t="n">
        <v>46086</v>
      </c>
      <c r="H71" s="13" t="inlineStr">
        <is>
          <t>Active</t>
        </is>
      </c>
      <c r="I71" s="13" t="inlineStr"/>
      <c r="J71" s="13" t="n">
        <v>25</v>
      </c>
      <c r="K71" s="22">
        <f>IF(H71="Resigned",(I71-G71),(TODAY()-G71))/30.437</f>
        <v/>
      </c>
      <c r="L71" s="12">
        <f>IF(K71&lt;3,"0-3 months",IF(K71&lt;6,"3-6 months",IF(K71&lt;12,"6-12 months","12+ months")))</f>
        <v/>
      </c>
      <c r="M71" s="23" t="n">
        <v>18500</v>
      </c>
    </row>
    <row r="72">
      <c r="A72" s="10" t="inlineStr">
        <is>
          <t>E3068</t>
        </is>
      </c>
      <c r="B72" s="9" t="inlineStr">
        <is>
          <t>Gift Cele</t>
        </is>
      </c>
      <c r="C72" s="10" t="inlineStr">
        <is>
          <t>Male</t>
        </is>
      </c>
      <c r="D72" s="9" t="inlineStr">
        <is>
          <t>IT Support</t>
        </is>
      </c>
      <c r="E72" s="9" t="inlineStr">
        <is>
          <t>ABSA Collections</t>
        </is>
      </c>
      <c r="F72" s="9" t="inlineStr">
        <is>
          <t>Durban</t>
        </is>
      </c>
      <c r="G72" s="24" t="n">
        <v>45771</v>
      </c>
      <c r="H72" s="10" t="inlineStr">
        <is>
          <t>Active</t>
        </is>
      </c>
      <c r="I72" s="10" t="inlineStr"/>
      <c r="J72" s="10" t="n">
        <v>35</v>
      </c>
      <c r="K72" s="25">
        <f>IF(H72="Resigned",(I72-G72),(TODAY()-G72))/30.437</f>
        <v/>
      </c>
      <c r="L72" s="9">
        <f>IF(K72&lt;3,"0-3 months",IF(K72&lt;6,"3-6 months",IF(K72&lt;12,"6-12 months","12+ months")))</f>
        <v/>
      </c>
      <c r="M72" s="26" t="n">
        <v>28000</v>
      </c>
    </row>
    <row r="73">
      <c r="A73" s="13" t="inlineStr">
        <is>
          <t>E3069</t>
        </is>
      </c>
      <c r="B73" s="12" t="inlineStr">
        <is>
          <t>Andile Tshabalala</t>
        </is>
      </c>
      <c r="C73" s="13" t="inlineStr">
        <is>
          <t>Female</t>
        </is>
      </c>
      <c r="D73" s="12" t="inlineStr">
        <is>
          <t>Customer Care</t>
        </is>
      </c>
      <c r="E73" s="12" t="inlineStr">
        <is>
          <t>DStv Upsell</t>
        </is>
      </c>
      <c r="F73" s="12" t="inlineStr">
        <is>
          <t>Pretoria</t>
        </is>
      </c>
      <c r="G73" s="21" t="n">
        <v>45611</v>
      </c>
      <c r="H73" s="13" t="inlineStr">
        <is>
          <t>Active</t>
        </is>
      </c>
      <c r="I73" s="13" t="inlineStr"/>
      <c r="J73" s="13" t="n">
        <v>47</v>
      </c>
      <c r="K73" s="22">
        <f>IF(H73="Resigned",(I73-G73),(TODAY()-G73))/30.437</f>
        <v/>
      </c>
      <c r="L73" s="12">
        <f>IF(K73&lt;3,"0-3 months",IF(K73&lt;6,"3-6 months",IF(K73&lt;12,"6-12 months","12+ months")))</f>
        <v/>
      </c>
      <c r="M73" s="23" t="n">
        <v>16500</v>
      </c>
    </row>
    <row r="74">
      <c r="A74" s="10" t="inlineStr">
        <is>
          <t>E3070</t>
        </is>
      </c>
      <c r="B74" s="9" t="inlineStr">
        <is>
          <t>Ayanda Molefe</t>
        </is>
      </c>
      <c r="C74" s="10" t="inlineStr">
        <is>
          <t>Female</t>
        </is>
      </c>
      <c r="D74" s="9" t="inlineStr">
        <is>
          <t>Quality</t>
        </is>
      </c>
      <c r="E74" s="9" t="inlineStr">
        <is>
          <t>MTN Retentions</t>
        </is>
      </c>
      <c r="F74" s="9" t="inlineStr">
        <is>
          <t>Durban</t>
        </is>
      </c>
      <c r="G74" s="24" t="n">
        <v>45622</v>
      </c>
      <c r="H74" s="10" t="inlineStr">
        <is>
          <t>Active</t>
        </is>
      </c>
      <c r="I74" s="10" t="inlineStr"/>
      <c r="J74" s="10" t="n">
        <v>40</v>
      </c>
      <c r="K74" s="25">
        <f>IF(H74="Resigned",(I74-G74),(TODAY()-G74))/30.437</f>
        <v/>
      </c>
      <c r="L74" s="9">
        <f>IF(K74&lt;3,"0-3 months",IF(K74&lt;6,"3-6 months",IF(K74&lt;12,"6-12 months","12+ months")))</f>
        <v/>
      </c>
      <c r="M74" s="26" t="n">
        <v>39000</v>
      </c>
    </row>
    <row r="75">
      <c r="A75" s="13" t="inlineStr">
        <is>
          <t>E3071</t>
        </is>
      </c>
      <c r="B75" s="12" t="inlineStr">
        <is>
          <t>Sipho Zulu</t>
        </is>
      </c>
      <c r="C75" s="13" t="inlineStr">
        <is>
          <t>Female</t>
        </is>
      </c>
      <c r="D75" s="12" t="inlineStr">
        <is>
          <t>Admin</t>
        </is>
      </c>
      <c r="E75" s="12" t="inlineStr">
        <is>
          <t>ABSA Collections</t>
        </is>
      </c>
      <c r="F75" s="12" t="inlineStr">
        <is>
          <t>Cape Town</t>
        </is>
      </c>
      <c r="G75" s="21" t="n">
        <v>45753</v>
      </c>
      <c r="H75" s="13" t="inlineStr">
        <is>
          <t>Active</t>
        </is>
      </c>
      <c r="I75" s="13" t="inlineStr"/>
      <c r="J75" s="13" t="n">
        <v>52</v>
      </c>
      <c r="K75" s="22">
        <f>IF(H75="Resigned",(I75-G75),(TODAY()-G75))/30.437</f>
        <v/>
      </c>
      <c r="L75" s="12">
        <f>IF(K75&lt;3,"0-3 months",IF(K75&lt;6,"3-6 months",IF(K75&lt;12,"6-12 months","12+ months")))</f>
        <v/>
      </c>
      <c r="M75" s="23" t="n">
        <v>21000</v>
      </c>
    </row>
    <row r="76">
      <c r="A76" s="10" t="inlineStr">
        <is>
          <t>E3072</t>
        </is>
      </c>
      <c r="B76" s="9" t="inlineStr">
        <is>
          <t>Mpho Fourie</t>
        </is>
      </c>
      <c r="C76" s="10" t="inlineStr">
        <is>
          <t>Female</t>
        </is>
      </c>
      <c r="D76" s="9" t="inlineStr">
        <is>
          <t>Operations</t>
        </is>
      </c>
      <c r="E76" s="9" t="inlineStr">
        <is>
          <t>Vodacom Upgrades</t>
        </is>
      </c>
      <c r="F76" s="9" t="inlineStr">
        <is>
          <t>Port Elizabeth</t>
        </is>
      </c>
      <c r="G76" s="24" t="n">
        <v>45507</v>
      </c>
      <c r="H76" s="10" t="inlineStr">
        <is>
          <t>Resigned</t>
        </is>
      </c>
      <c r="I76" s="24" t="n">
        <v>46102</v>
      </c>
      <c r="J76" s="10" t="n">
        <v>27</v>
      </c>
      <c r="K76" s="25">
        <f>IF(H76="Resigned",(I76-G76),(TODAY()-G76))/30.437</f>
        <v/>
      </c>
      <c r="L76" s="9">
        <f>IF(K76&lt;3,"0-3 months",IF(K76&lt;6,"3-6 months",IF(K76&lt;12,"6-12 months","12+ months")))</f>
        <v/>
      </c>
      <c r="M76" s="26" t="n">
        <v>18500</v>
      </c>
    </row>
    <row r="77">
      <c r="A77" s="13" t="inlineStr">
        <is>
          <t>E3073</t>
        </is>
      </c>
      <c r="B77" s="12" t="inlineStr">
        <is>
          <t>Keabetswe Pillay</t>
        </is>
      </c>
      <c r="C77" s="13" t="inlineStr">
        <is>
          <t>Female</t>
        </is>
      </c>
      <c r="D77" s="12" t="inlineStr">
        <is>
          <t>Team Leaders</t>
        </is>
      </c>
      <c r="E77" s="12" t="inlineStr">
        <is>
          <t>Discovery Lead Gen</t>
        </is>
      </c>
      <c r="F77" s="12" t="inlineStr">
        <is>
          <t>Johannesburg</t>
        </is>
      </c>
      <c r="G77" s="21" t="n">
        <v>45759</v>
      </c>
      <c r="H77" s="13" t="inlineStr">
        <is>
          <t>Active</t>
        </is>
      </c>
      <c r="I77" s="13" t="inlineStr"/>
      <c r="J77" s="13" t="n">
        <v>54</v>
      </c>
      <c r="K77" s="22">
        <f>IF(H77="Resigned",(I77-G77),(TODAY()-G77))/30.437</f>
        <v/>
      </c>
      <c r="L77" s="12">
        <f>IF(K77&lt;3,"0-3 months",IF(K77&lt;6,"3-6 months",IF(K77&lt;12,"6-12 months","12+ months")))</f>
        <v/>
      </c>
      <c r="M77" s="23" t="n">
        <v>16500</v>
      </c>
    </row>
    <row r="78">
      <c r="A78" s="10" t="inlineStr">
        <is>
          <t>E3074</t>
        </is>
      </c>
      <c r="B78" s="9" t="inlineStr">
        <is>
          <t>Musa Meyer</t>
        </is>
      </c>
      <c r="C78" s="10" t="inlineStr">
        <is>
          <t>Male</t>
        </is>
      </c>
      <c r="D78" s="9" t="inlineStr">
        <is>
          <t>Admin</t>
        </is>
      </c>
      <c r="E78" s="9" t="inlineStr">
        <is>
          <t>Standard Bank Helpdesk</t>
        </is>
      </c>
      <c r="F78" s="9" t="inlineStr">
        <is>
          <t>Port Elizabeth</t>
        </is>
      </c>
      <c r="G78" s="24" t="n">
        <v>45878</v>
      </c>
      <c r="H78" s="10" t="inlineStr">
        <is>
          <t>Resigned</t>
        </is>
      </c>
      <c r="I78" s="24" t="n">
        <v>45924</v>
      </c>
      <c r="J78" s="10" t="n">
        <v>39</v>
      </c>
      <c r="K78" s="25">
        <f>IF(H78="Resigned",(I78-G78),(TODAY()-G78))/30.437</f>
        <v/>
      </c>
      <c r="L78" s="9">
        <f>IF(K78&lt;3,"0-3 months",IF(K78&lt;6,"3-6 months",IF(K78&lt;12,"6-12 months","12+ months")))</f>
        <v/>
      </c>
      <c r="M78" s="26" t="n">
        <v>16500</v>
      </c>
    </row>
    <row r="79">
      <c r="A79" s="13" t="inlineStr">
        <is>
          <t>E3075</t>
        </is>
      </c>
      <c r="B79" s="12" t="inlineStr">
        <is>
          <t>Anele Molefe</t>
        </is>
      </c>
      <c r="C79" s="13" t="inlineStr">
        <is>
          <t>Female</t>
        </is>
      </c>
      <c r="D79" s="12" t="inlineStr">
        <is>
          <t>Training</t>
        </is>
      </c>
      <c r="E79" s="12" t="inlineStr">
        <is>
          <t>Nedbank Debt Review</t>
        </is>
      </c>
      <c r="F79" s="12" t="inlineStr">
        <is>
          <t>Cape Town</t>
        </is>
      </c>
      <c r="G79" s="21" t="n">
        <v>46008</v>
      </c>
      <c r="H79" s="13" t="inlineStr">
        <is>
          <t>Active</t>
        </is>
      </c>
      <c r="I79" s="13" t="inlineStr"/>
      <c r="J79" s="13" t="n">
        <v>20</v>
      </c>
      <c r="K79" s="22">
        <f>IF(H79="Resigned",(I79-G79),(TODAY()-G79))/30.437</f>
        <v/>
      </c>
      <c r="L79" s="12">
        <f>IF(K79&lt;3,"0-3 months",IF(K79&lt;6,"3-6 months",IF(K79&lt;12,"6-12 months","12+ months")))</f>
        <v/>
      </c>
      <c r="M79" s="23" t="n">
        <v>21000</v>
      </c>
    </row>
    <row r="80">
      <c r="A80" s="10" t="inlineStr">
        <is>
          <t>E3076</t>
        </is>
      </c>
      <c r="B80" s="9" t="inlineStr">
        <is>
          <t>Rethabile Radebe</t>
        </is>
      </c>
      <c r="C80" s="10" t="inlineStr">
        <is>
          <t>Female</t>
        </is>
      </c>
      <c r="D80" s="9" t="inlineStr">
        <is>
          <t>Training</t>
        </is>
      </c>
      <c r="E80" s="9" t="inlineStr">
        <is>
          <t>DStv Upsell</t>
        </is>
      </c>
      <c r="F80" s="9" t="inlineStr">
        <is>
          <t>Durban</t>
        </is>
      </c>
      <c r="G80" s="24" t="n">
        <v>45568</v>
      </c>
      <c r="H80" s="10" t="inlineStr">
        <is>
          <t>Active</t>
        </is>
      </c>
      <c r="I80" s="10" t="inlineStr"/>
      <c r="J80" s="10" t="n">
        <v>55</v>
      </c>
      <c r="K80" s="25">
        <f>IF(H80="Resigned",(I80-G80),(TODAY()-G80))/30.437</f>
        <v/>
      </c>
      <c r="L80" s="9">
        <f>IF(K80&lt;3,"0-3 months",IF(K80&lt;6,"3-6 months",IF(K80&lt;12,"6-12 months","12+ months")))</f>
        <v/>
      </c>
      <c r="M80" s="26" t="n">
        <v>21000</v>
      </c>
    </row>
    <row r="81">
      <c r="A81" s="13" t="inlineStr">
        <is>
          <t>E3077</t>
        </is>
      </c>
      <c r="B81" s="12" t="inlineStr">
        <is>
          <t>Sipho Botha</t>
        </is>
      </c>
      <c r="C81" s="13" t="inlineStr">
        <is>
          <t>Male</t>
        </is>
      </c>
      <c r="D81" s="12" t="inlineStr">
        <is>
          <t>Sales</t>
        </is>
      </c>
      <c r="E81" s="12" t="inlineStr">
        <is>
          <t>Shoprite Surveys</t>
        </is>
      </c>
      <c r="F81" s="12" t="inlineStr">
        <is>
          <t>Durban</t>
        </is>
      </c>
      <c r="G81" s="21" t="n">
        <v>45860</v>
      </c>
      <c r="H81" s="13" t="inlineStr">
        <is>
          <t>Active</t>
        </is>
      </c>
      <c r="I81" s="13" t="inlineStr"/>
      <c r="J81" s="13" t="n">
        <v>32</v>
      </c>
      <c r="K81" s="22">
        <f>IF(H81="Resigned",(I81-G81),(TODAY()-G81))/30.437</f>
        <v/>
      </c>
      <c r="L81" s="12">
        <f>IF(K81&lt;3,"0-3 months",IF(K81&lt;6,"3-6 months",IF(K81&lt;12,"6-12 months","12+ months")))</f>
        <v/>
      </c>
      <c r="M81" s="23" t="n">
        <v>18500</v>
      </c>
    </row>
    <row r="82">
      <c r="A82" s="10" t="inlineStr">
        <is>
          <t>E3078</t>
        </is>
      </c>
      <c r="B82" s="9" t="inlineStr">
        <is>
          <t>Sipho Govender</t>
        </is>
      </c>
      <c r="C82" s="10" t="inlineStr">
        <is>
          <t>Female</t>
        </is>
      </c>
      <c r="D82" s="9" t="inlineStr">
        <is>
          <t>Admin</t>
        </is>
      </c>
      <c r="E82" s="9" t="inlineStr">
        <is>
          <t>Discovery Lead Gen</t>
        </is>
      </c>
      <c r="F82" s="9" t="inlineStr">
        <is>
          <t>Pretoria</t>
        </is>
      </c>
      <c r="G82" s="24" t="n">
        <v>45640</v>
      </c>
      <c r="H82" s="10" t="inlineStr">
        <is>
          <t>Active</t>
        </is>
      </c>
      <c r="I82" s="10" t="inlineStr"/>
      <c r="J82" s="10" t="n">
        <v>55</v>
      </c>
      <c r="K82" s="25">
        <f>IF(H82="Resigned",(I82-G82),(TODAY()-G82))/30.437</f>
        <v/>
      </c>
      <c r="L82" s="9">
        <f>IF(K82&lt;3,"0-3 months",IF(K82&lt;6,"3-6 months",IF(K82&lt;12,"6-12 months","12+ months")))</f>
        <v/>
      </c>
      <c r="M82" s="26" t="n">
        <v>28000</v>
      </c>
    </row>
    <row r="83">
      <c r="A83" s="13" t="inlineStr">
        <is>
          <t>E3079</t>
        </is>
      </c>
      <c r="B83" s="12" t="inlineStr">
        <is>
          <t>Amahle Motaung</t>
        </is>
      </c>
      <c r="C83" s="13" t="inlineStr">
        <is>
          <t>Female</t>
        </is>
      </c>
      <c r="D83" s="12" t="inlineStr">
        <is>
          <t>IT Support</t>
        </is>
      </c>
      <c r="E83" s="12" t="inlineStr">
        <is>
          <t>Cell C Winback</t>
        </is>
      </c>
      <c r="F83" s="12" t="inlineStr">
        <is>
          <t>Durban</t>
        </is>
      </c>
      <c r="G83" s="21" t="n">
        <v>45961</v>
      </c>
      <c r="H83" s="13" t="inlineStr">
        <is>
          <t>Active</t>
        </is>
      </c>
      <c r="I83" s="13" t="inlineStr"/>
      <c r="J83" s="13" t="n">
        <v>52</v>
      </c>
      <c r="K83" s="22">
        <f>IF(H83="Resigned",(I83-G83),(TODAY()-G83))/30.437</f>
        <v/>
      </c>
      <c r="L83" s="12">
        <f>IF(K83&lt;3,"0-3 months",IF(K83&lt;6,"3-6 months",IF(K83&lt;12,"6-12 months","12+ months")))</f>
        <v/>
      </c>
      <c r="M83" s="23" t="n">
        <v>28000</v>
      </c>
    </row>
    <row r="84">
      <c r="A84" s="10" t="inlineStr">
        <is>
          <t>E3080</t>
        </is>
      </c>
      <c r="B84" s="9" t="inlineStr">
        <is>
          <t>Precious Fourie</t>
        </is>
      </c>
      <c r="C84" s="10" t="inlineStr">
        <is>
          <t>Female</t>
        </is>
      </c>
      <c r="D84" s="9" t="inlineStr">
        <is>
          <t>Sales</t>
        </is>
      </c>
      <c r="E84" s="9" t="inlineStr">
        <is>
          <t>ABSA Collections</t>
        </is>
      </c>
      <c r="F84" s="9" t="inlineStr">
        <is>
          <t>Pretoria</t>
        </is>
      </c>
      <c r="G84" s="24" t="n">
        <v>45575</v>
      </c>
      <c r="H84" s="10" t="inlineStr">
        <is>
          <t>Resigned</t>
        </is>
      </c>
      <c r="I84" s="24" t="n">
        <v>45966</v>
      </c>
      <c r="J84" s="10" t="n">
        <v>44</v>
      </c>
      <c r="K84" s="25">
        <f>IF(H84="Resigned",(I84-G84),(TODAY()-G84))/30.437</f>
        <v/>
      </c>
      <c r="L84" s="9">
        <f>IF(K84&lt;3,"0-3 months",IF(K84&lt;6,"3-6 months",IF(K84&lt;12,"6-12 months","12+ months")))</f>
        <v/>
      </c>
      <c r="M84" s="26" t="n">
        <v>15000</v>
      </c>
    </row>
    <row r="85">
      <c r="A85" s="13" t="inlineStr">
        <is>
          <t>E3081</t>
        </is>
      </c>
      <c r="B85" s="12" t="inlineStr">
        <is>
          <t>Ntombi Mabaso</t>
        </is>
      </c>
      <c r="C85" s="13" t="inlineStr">
        <is>
          <t>Female</t>
        </is>
      </c>
      <c r="D85" s="12" t="inlineStr">
        <is>
          <t>Sales</t>
        </is>
      </c>
      <c r="E85" s="12" t="inlineStr">
        <is>
          <t>Discovery Lead Gen</t>
        </is>
      </c>
      <c r="F85" s="12" t="inlineStr">
        <is>
          <t>Durban</t>
        </is>
      </c>
      <c r="G85" s="21" t="n">
        <v>45498</v>
      </c>
      <c r="H85" s="13" t="inlineStr">
        <is>
          <t>Resigned</t>
        </is>
      </c>
      <c r="I85" s="21" t="n">
        <v>45552</v>
      </c>
      <c r="J85" s="13" t="n">
        <v>46</v>
      </c>
      <c r="K85" s="22">
        <f>IF(H85="Resigned",(I85-G85),(TODAY()-G85))/30.437</f>
        <v/>
      </c>
      <c r="L85" s="12">
        <f>IF(K85&lt;3,"0-3 months",IF(K85&lt;6,"3-6 months",IF(K85&lt;12,"6-12 months","12+ months")))</f>
        <v/>
      </c>
      <c r="M85" s="23" t="n">
        <v>16500</v>
      </c>
    </row>
    <row r="86">
      <c r="A86" s="10" t="inlineStr">
        <is>
          <t>E3082</t>
        </is>
      </c>
      <c r="B86" s="9" t="inlineStr">
        <is>
          <t>Andile Radebe</t>
        </is>
      </c>
      <c r="C86" s="10" t="inlineStr">
        <is>
          <t>Female</t>
        </is>
      </c>
      <c r="D86" s="9" t="inlineStr">
        <is>
          <t>Operations</t>
        </is>
      </c>
      <c r="E86" s="9" t="inlineStr">
        <is>
          <t>DStv Upsell</t>
        </is>
      </c>
      <c r="F86" s="9" t="inlineStr">
        <is>
          <t>Johannesburg</t>
        </is>
      </c>
      <c r="G86" s="24" t="n">
        <v>45740</v>
      </c>
      <c r="H86" s="10" t="inlineStr">
        <is>
          <t>Active</t>
        </is>
      </c>
      <c r="I86" s="10" t="inlineStr"/>
      <c r="J86" s="10" t="n">
        <v>41</v>
      </c>
      <c r="K86" s="25">
        <f>IF(H86="Resigned",(I86-G86),(TODAY()-G86))/30.437</f>
        <v/>
      </c>
      <c r="L86" s="9">
        <f>IF(K86&lt;3,"0-3 months",IF(K86&lt;6,"3-6 months",IF(K86&lt;12,"6-12 months","12+ months")))</f>
        <v/>
      </c>
      <c r="M86" s="26" t="n">
        <v>15000</v>
      </c>
    </row>
    <row r="87">
      <c r="A87" s="13" t="inlineStr">
        <is>
          <t>E3083</t>
        </is>
      </c>
      <c r="B87" s="12" t="inlineStr">
        <is>
          <t>Nosipho Nel</t>
        </is>
      </c>
      <c r="C87" s="13" t="inlineStr">
        <is>
          <t>Female</t>
        </is>
      </c>
      <c r="D87" s="12" t="inlineStr">
        <is>
          <t>Quality</t>
        </is>
      </c>
      <c r="E87" s="12" t="inlineStr">
        <is>
          <t>Discovery Lead Gen</t>
        </is>
      </c>
      <c r="F87" s="12" t="inlineStr">
        <is>
          <t>Port Elizabeth</t>
        </is>
      </c>
      <c r="G87" s="21" t="n">
        <v>45538</v>
      </c>
      <c r="H87" s="13" t="inlineStr">
        <is>
          <t>Active</t>
        </is>
      </c>
      <c r="I87" s="13" t="inlineStr"/>
      <c r="J87" s="13" t="n">
        <v>27</v>
      </c>
      <c r="K87" s="22">
        <f>IF(H87="Resigned",(I87-G87),(TODAY()-G87))/30.437</f>
        <v/>
      </c>
      <c r="L87" s="12">
        <f>IF(K87&lt;3,"0-3 months",IF(K87&lt;6,"3-6 months",IF(K87&lt;12,"6-12 months","12+ months")))</f>
        <v/>
      </c>
      <c r="M87" s="23" t="n">
        <v>33000</v>
      </c>
    </row>
    <row r="88">
      <c r="A88" s="10" t="inlineStr">
        <is>
          <t>E3084</t>
        </is>
      </c>
      <c r="B88" s="9" t="inlineStr">
        <is>
          <t>Keabetswe Govender</t>
        </is>
      </c>
      <c r="C88" s="10" t="inlineStr">
        <is>
          <t>Male</t>
        </is>
      </c>
      <c r="D88" s="9" t="inlineStr">
        <is>
          <t>Admin</t>
        </is>
      </c>
      <c r="E88" s="9" t="inlineStr">
        <is>
          <t>Takealot Care</t>
        </is>
      </c>
      <c r="F88" s="9" t="inlineStr">
        <is>
          <t>Johannesburg</t>
        </is>
      </c>
      <c r="G88" s="24" t="n">
        <v>45995</v>
      </c>
      <c r="H88" s="10" t="inlineStr">
        <is>
          <t>Active</t>
        </is>
      </c>
      <c r="I88" s="10" t="inlineStr"/>
      <c r="J88" s="10" t="n">
        <v>42</v>
      </c>
      <c r="K88" s="25">
        <f>IF(H88="Resigned",(I88-G88),(TODAY()-G88))/30.437</f>
        <v/>
      </c>
      <c r="L88" s="9">
        <f>IF(K88&lt;3,"0-3 months",IF(K88&lt;6,"3-6 months",IF(K88&lt;12,"6-12 months","12+ months")))</f>
        <v/>
      </c>
      <c r="M88" s="26" t="n">
        <v>24000</v>
      </c>
    </row>
    <row r="89">
      <c r="A89" s="13" t="inlineStr">
        <is>
          <t>E3085</t>
        </is>
      </c>
      <c r="B89" s="12" t="inlineStr">
        <is>
          <t>Tumelo Sibiya</t>
        </is>
      </c>
      <c r="C89" s="13" t="inlineStr">
        <is>
          <t>Female</t>
        </is>
      </c>
      <c r="D89" s="12" t="inlineStr">
        <is>
          <t>Customer Care</t>
        </is>
      </c>
      <c r="E89" s="12" t="inlineStr">
        <is>
          <t>Cell C Winback</t>
        </is>
      </c>
      <c r="F89" s="12" t="inlineStr">
        <is>
          <t>Cape Town</t>
        </is>
      </c>
      <c r="G89" s="21" t="n">
        <v>45935</v>
      </c>
      <c r="H89" s="13" t="inlineStr">
        <is>
          <t>Active</t>
        </is>
      </c>
      <c r="I89" s="13" t="inlineStr"/>
      <c r="J89" s="13" t="n">
        <v>42</v>
      </c>
      <c r="K89" s="22">
        <f>IF(H89="Resigned",(I89-G89),(TODAY()-G89))/30.437</f>
        <v/>
      </c>
      <c r="L89" s="12">
        <f>IF(K89&lt;3,"0-3 months",IF(K89&lt;6,"3-6 months",IF(K89&lt;12,"6-12 months","12+ months")))</f>
        <v/>
      </c>
      <c r="M89" s="23" t="n">
        <v>24000</v>
      </c>
    </row>
    <row r="90">
      <c r="A90" s="10" t="inlineStr">
        <is>
          <t>E3086</t>
        </is>
      </c>
      <c r="B90" s="9" t="inlineStr">
        <is>
          <t>Ntombizodwa Dlamini</t>
        </is>
      </c>
      <c r="C90" s="10" t="inlineStr">
        <is>
          <t>Female</t>
        </is>
      </c>
      <c r="D90" s="9" t="inlineStr">
        <is>
          <t>IT Support</t>
        </is>
      </c>
      <c r="E90" s="9" t="inlineStr">
        <is>
          <t>Nedbank Debt Review</t>
        </is>
      </c>
      <c r="F90" s="9" t="inlineStr">
        <is>
          <t>Port Elizabeth</t>
        </is>
      </c>
      <c r="G90" s="24" t="n">
        <v>45955</v>
      </c>
      <c r="H90" s="10" t="inlineStr">
        <is>
          <t>Active</t>
        </is>
      </c>
      <c r="I90" s="10" t="inlineStr"/>
      <c r="J90" s="10" t="n">
        <v>45</v>
      </c>
      <c r="K90" s="25">
        <f>IF(H90="Resigned",(I90-G90),(TODAY()-G90))/30.437</f>
        <v/>
      </c>
      <c r="L90" s="9">
        <f>IF(K90&lt;3,"0-3 months",IF(K90&lt;6,"3-6 months",IF(K90&lt;12,"6-12 months","12+ months")))</f>
        <v/>
      </c>
      <c r="M90" s="26" t="n">
        <v>21000</v>
      </c>
    </row>
    <row r="91">
      <c r="A91" s="13" t="inlineStr">
        <is>
          <t>E3087</t>
        </is>
      </c>
      <c r="B91" s="12" t="inlineStr">
        <is>
          <t>Katlego Ndlovu</t>
        </is>
      </c>
      <c r="C91" s="13" t="inlineStr">
        <is>
          <t>Female</t>
        </is>
      </c>
      <c r="D91" s="12" t="inlineStr">
        <is>
          <t>Admin</t>
        </is>
      </c>
      <c r="E91" s="12" t="inlineStr">
        <is>
          <t>Takealot Care</t>
        </is>
      </c>
      <c r="F91" s="12" t="inlineStr">
        <is>
          <t>Pretoria</t>
        </is>
      </c>
      <c r="G91" s="21" t="n">
        <v>45976</v>
      </c>
      <c r="H91" s="13" t="inlineStr">
        <is>
          <t>Active</t>
        </is>
      </c>
      <c r="I91" s="13" t="inlineStr"/>
      <c r="J91" s="13" t="n">
        <v>31</v>
      </c>
      <c r="K91" s="22">
        <f>IF(H91="Resigned",(I91-G91),(TODAY()-G91))/30.437</f>
        <v/>
      </c>
      <c r="L91" s="12">
        <f>IF(K91&lt;3,"0-3 months",IF(K91&lt;6,"3-6 months",IF(K91&lt;12,"6-12 months","12+ months")))</f>
        <v/>
      </c>
      <c r="M91" s="23" t="n">
        <v>33000</v>
      </c>
    </row>
    <row r="92">
      <c r="A92" s="10" t="inlineStr">
        <is>
          <t>E3088</t>
        </is>
      </c>
      <c r="B92" s="9" t="inlineStr">
        <is>
          <t>Refilwe Mahlangu</t>
        </is>
      </c>
      <c r="C92" s="10" t="inlineStr">
        <is>
          <t>Female</t>
        </is>
      </c>
      <c r="D92" s="9" t="inlineStr">
        <is>
          <t>Training</t>
        </is>
      </c>
      <c r="E92" s="9" t="inlineStr">
        <is>
          <t>MTN Retentions</t>
        </is>
      </c>
      <c r="F92" s="9" t="inlineStr">
        <is>
          <t>Pretoria</t>
        </is>
      </c>
      <c r="G92" s="24" t="n">
        <v>46124</v>
      </c>
      <c r="H92" s="10" t="inlineStr">
        <is>
          <t>Resigned</t>
        </is>
      </c>
      <c r="I92" s="24" t="n">
        <v>46161</v>
      </c>
      <c r="J92" s="10" t="n">
        <v>45</v>
      </c>
      <c r="K92" s="25">
        <f>IF(H92="Resigned",(I92-G92),(TODAY()-G92))/30.437</f>
        <v/>
      </c>
      <c r="L92" s="9">
        <f>IF(K92&lt;3,"0-3 months",IF(K92&lt;6,"3-6 months",IF(K92&lt;12,"6-12 months","12+ months")))</f>
        <v/>
      </c>
      <c r="M92" s="26" t="n">
        <v>24000</v>
      </c>
    </row>
    <row r="93">
      <c r="A93" s="13" t="inlineStr">
        <is>
          <t>E3089</t>
        </is>
      </c>
      <c r="B93" s="12" t="inlineStr">
        <is>
          <t>Boitumelo Botha</t>
        </is>
      </c>
      <c r="C93" s="13" t="inlineStr">
        <is>
          <t>Male</t>
        </is>
      </c>
      <c r="D93" s="12" t="inlineStr">
        <is>
          <t>Admin</t>
        </is>
      </c>
      <c r="E93" s="12" t="inlineStr">
        <is>
          <t>DStv Upsell</t>
        </is>
      </c>
      <c r="F93" s="12" t="inlineStr">
        <is>
          <t>Johannesburg</t>
        </is>
      </c>
      <c r="G93" s="21" t="n">
        <v>45493</v>
      </c>
      <c r="H93" s="13" t="inlineStr">
        <is>
          <t>Active</t>
        </is>
      </c>
      <c r="I93" s="13" t="inlineStr"/>
      <c r="J93" s="13" t="n">
        <v>24</v>
      </c>
      <c r="K93" s="22">
        <f>IF(H93="Resigned",(I93-G93),(TODAY()-G93))/30.437</f>
        <v/>
      </c>
      <c r="L93" s="12">
        <f>IF(K93&lt;3,"0-3 months",IF(K93&lt;6,"3-6 months",IF(K93&lt;12,"6-12 months","12+ months")))</f>
        <v/>
      </c>
      <c r="M93" s="23" t="n">
        <v>39000</v>
      </c>
    </row>
    <row r="94">
      <c r="A94" s="10" t="inlineStr">
        <is>
          <t>E3090</t>
        </is>
      </c>
      <c r="B94" s="9" t="inlineStr">
        <is>
          <t>Kabelo Maseko</t>
        </is>
      </c>
      <c r="C94" s="10" t="inlineStr">
        <is>
          <t>Female</t>
        </is>
      </c>
      <c r="D94" s="9" t="inlineStr">
        <is>
          <t>Operations</t>
        </is>
      </c>
      <c r="E94" s="9" t="inlineStr">
        <is>
          <t>Takealot Care</t>
        </is>
      </c>
      <c r="F94" s="9" t="inlineStr">
        <is>
          <t>Durban</t>
        </is>
      </c>
      <c r="G94" s="24" t="n">
        <v>45771</v>
      </c>
      <c r="H94" s="10" t="inlineStr">
        <is>
          <t>Active</t>
        </is>
      </c>
      <c r="I94" s="10" t="inlineStr"/>
      <c r="J94" s="10" t="n">
        <v>34</v>
      </c>
      <c r="K94" s="25">
        <f>IF(H94="Resigned",(I94-G94),(TODAY()-G94))/30.437</f>
        <v/>
      </c>
      <c r="L94" s="9">
        <f>IF(K94&lt;3,"0-3 months",IF(K94&lt;6,"3-6 months",IF(K94&lt;12,"6-12 months","12+ months")))</f>
        <v/>
      </c>
      <c r="M94" s="26" t="n">
        <v>21000</v>
      </c>
    </row>
    <row r="95">
      <c r="A95" s="13" t="inlineStr">
        <is>
          <t>E3091</t>
        </is>
      </c>
      <c r="B95" s="12" t="inlineStr">
        <is>
          <t>Nonhlanhla Van Wyk</t>
        </is>
      </c>
      <c r="C95" s="13" t="inlineStr">
        <is>
          <t>Female</t>
        </is>
      </c>
      <c r="D95" s="12" t="inlineStr">
        <is>
          <t>Sales</t>
        </is>
      </c>
      <c r="E95" s="12" t="inlineStr">
        <is>
          <t>DStv Upsell</t>
        </is>
      </c>
      <c r="F95" s="12" t="inlineStr">
        <is>
          <t>Durban</t>
        </is>
      </c>
      <c r="G95" s="21" t="n">
        <v>45862</v>
      </c>
      <c r="H95" s="13" t="inlineStr">
        <is>
          <t>Active</t>
        </is>
      </c>
      <c r="I95" s="13" t="inlineStr"/>
      <c r="J95" s="13" t="n">
        <v>30</v>
      </c>
      <c r="K95" s="22">
        <f>IF(H95="Resigned",(I95-G95),(TODAY()-G95))/30.437</f>
        <v/>
      </c>
      <c r="L95" s="12">
        <f>IF(K95&lt;3,"0-3 months",IF(K95&lt;6,"3-6 months",IF(K95&lt;12,"6-12 months","12+ months")))</f>
        <v/>
      </c>
      <c r="M95" s="23" t="n">
        <v>33000</v>
      </c>
    </row>
    <row r="96">
      <c r="A96" s="10" t="inlineStr">
        <is>
          <t>E3092</t>
        </is>
      </c>
      <c r="B96" s="9" t="inlineStr">
        <is>
          <t>Zodwa Radebe</t>
        </is>
      </c>
      <c r="C96" s="10" t="inlineStr">
        <is>
          <t>Female</t>
        </is>
      </c>
      <c r="D96" s="9" t="inlineStr">
        <is>
          <t>Customer Care</t>
        </is>
      </c>
      <c r="E96" s="9" t="inlineStr">
        <is>
          <t>Telkom Tech Support</t>
        </is>
      </c>
      <c r="F96" s="9" t="inlineStr">
        <is>
          <t>Johannesburg</t>
        </is>
      </c>
      <c r="G96" s="24" t="n">
        <v>45512</v>
      </c>
      <c r="H96" s="10" t="inlineStr">
        <is>
          <t>Active</t>
        </is>
      </c>
      <c r="I96" s="10" t="inlineStr"/>
      <c r="J96" s="10" t="n">
        <v>47</v>
      </c>
      <c r="K96" s="25">
        <f>IF(H96="Resigned",(I96-G96),(TODAY()-G96))/30.437</f>
        <v/>
      </c>
      <c r="L96" s="9">
        <f>IF(K96&lt;3,"0-3 months",IF(K96&lt;6,"3-6 months",IF(K96&lt;12,"6-12 months","12+ months")))</f>
        <v/>
      </c>
      <c r="M96" s="26" t="n">
        <v>21000</v>
      </c>
    </row>
    <row r="97">
      <c r="A97" s="13" t="inlineStr">
        <is>
          <t>E3093</t>
        </is>
      </c>
      <c r="B97" s="12" t="inlineStr">
        <is>
          <t>Naledi Nkosi</t>
        </is>
      </c>
      <c r="C97" s="13" t="inlineStr">
        <is>
          <t>Male</t>
        </is>
      </c>
      <c r="D97" s="12" t="inlineStr">
        <is>
          <t>Operations</t>
        </is>
      </c>
      <c r="E97" s="12" t="inlineStr">
        <is>
          <t>MTN Retentions</t>
        </is>
      </c>
      <c r="F97" s="12" t="inlineStr">
        <is>
          <t>Port Elizabeth</t>
        </is>
      </c>
      <c r="G97" s="21" t="n">
        <v>45366</v>
      </c>
      <c r="H97" s="13" t="inlineStr">
        <is>
          <t>Resigned</t>
        </is>
      </c>
      <c r="I97" s="21" t="n">
        <v>45807</v>
      </c>
      <c r="J97" s="13" t="n">
        <v>39</v>
      </c>
      <c r="K97" s="22">
        <f>IF(H97="Resigned",(I97-G97),(TODAY()-G97))/30.437</f>
        <v/>
      </c>
      <c r="L97" s="12">
        <f>IF(K97&lt;3,"0-3 months",IF(K97&lt;6,"3-6 months",IF(K97&lt;12,"6-12 months","12+ months")))</f>
        <v/>
      </c>
      <c r="M97" s="23" t="n">
        <v>28000</v>
      </c>
    </row>
    <row r="98">
      <c r="A98" s="10" t="inlineStr">
        <is>
          <t>E3094</t>
        </is>
      </c>
      <c r="B98" s="9" t="inlineStr">
        <is>
          <t>Mandla Fourie</t>
        </is>
      </c>
      <c r="C98" s="10" t="inlineStr">
        <is>
          <t>Male</t>
        </is>
      </c>
      <c r="D98" s="9" t="inlineStr">
        <is>
          <t>Admin</t>
        </is>
      </c>
      <c r="E98" s="9" t="inlineStr">
        <is>
          <t>Cell C Winback</t>
        </is>
      </c>
      <c r="F98" s="9" t="inlineStr">
        <is>
          <t>Cape Town</t>
        </is>
      </c>
      <c r="G98" s="24" t="n">
        <v>45552</v>
      </c>
      <c r="H98" s="10" t="inlineStr">
        <is>
          <t>Active</t>
        </is>
      </c>
      <c r="I98" s="10" t="inlineStr"/>
      <c r="J98" s="10" t="n">
        <v>33</v>
      </c>
      <c r="K98" s="25">
        <f>IF(H98="Resigned",(I98-G98),(TODAY()-G98))/30.437</f>
        <v/>
      </c>
      <c r="L98" s="9">
        <f>IF(K98&lt;3,"0-3 months",IF(K98&lt;6,"3-6 months",IF(K98&lt;12,"6-12 months","12+ months")))</f>
        <v/>
      </c>
      <c r="M98" s="26" t="n">
        <v>21000</v>
      </c>
    </row>
    <row r="99">
      <c r="A99" s="13" t="inlineStr">
        <is>
          <t>E3095</t>
        </is>
      </c>
      <c r="B99" s="12" t="inlineStr">
        <is>
          <t>Refilwe Pillay</t>
        </is>
      </c>
      <c r="C99" s="13" t="inlineStr">
        <is>
          <t>Male</t>
        </is>
      </c>
      <c r="D99" s="12" t="inlineStr">
        <is>
          <t>Customer Care</t>
        </is>
      </c>
      <c r="E99" s="12" t="inlineStr">
        <is>
          <t>Cell C Winback</t>
        </is>
      </c>
      <c r="F99" s="12" t="inlineStr">
        <is>
          <t>Durban</t>
        </is>
      </c>
      <c r="G99" s="21" t="n">
        <v>45907</v>
      </c>
      <c r="H99" s="13" t="inlineStr">
        <is>
          <t>Active</t>
        </is>
      </c>
      <c r="I99" s="13" t="inlineStr"/>
      <c r="J99" s="13" t="n">
        <v>30</v>
      </c>
      <c r="K99" s="22">
        <f>IF(H99="Resigned",(I99-G99),(TODAY()-G99))/30.437</f>
        <v/>
      </c>
      <c r="L99" s="12">
        <f>IF(K99&lt;3,"0-3 months",IF(K99&lt;6,"3-6 months",IF(K99&lt;12,"6-12 months","12+ months")))</f>
        <v/>
      </c>
      <c r="M99" s="23" t="n">
        <v>13500</v>
      </c>
    </row>
    <row r="100">
      <c r="A100" s="10" t="inlineStr">
        <is>
          <t>E3096</t>
        </is>
      </c>
      <c r="B100" s="9" t="inlineStr">
        <is>
          <t>Siyabonga Buthelezi</t>
        </is>
      </c>
      <c r="C100" s="10" t="inlineStr">
        <is>
          <t>Male</t>
        </is>
      </c>
      <c r="D100" s="9" t="inlineStr">
        <is>
          <t>Operations</t>
        </is>
      </c>
      <c r="E100" s="9" t="inlineStr">
        <is>
          <t>Telkom Tech Support</t>
        </is>
      </c>
      <c r="F100" s="9" t="inlineStr">
        <is>
          <t>Port Elizabeth</t>
        </is>
      </c>
      <c r="G100" s="24" t="n">
        <v>45879</v>
      </c>
      <c r="H100" s="10" t="inlineStr">
        <is>
          <t>Active</t>
        </is>
      </c>
      <c r="I100" s="10" t="inlineStr"/>
      <c r="J100" s="10" t="n">
        <v>55</v>
      </c>
      <c r="K100" s="25">
        <f>IF(H100="Resigned",(I100-G100),(TODAY()-G100))/30.437</f>
        <v/>
      </c>
      <c r="L100" s="9">
        <f>IF(K100&lt;3,"0-3 months",IF(K100&lt;6,"3-6 months",IF(K100&lt;12,"6-12 months","12+ months")))</f>
        <v/>
      </c>
      <c r="M100" s="26" t="n">
        <v>33000</v>
      </c>
    </row>
    <row r="101">
      <c r="A101" s="13" t="inlineStr">
        <is>
          <t>E3097</t>
        </is>
      </c>
      <c r="B101" s="12" t="inlineStr">
        <is>
          <t>Nokuthula Maseko</t>
        </is>
      </c>
      <c r="C101" s="13" t="inlineStr">
        <is>
          <t>Female</t>
        </is>
      </c>
      <c r="D101" s="12" t="inlineStr">
        <is>
          <t>Operations</t>
        </is>
      </c>
      <c r="E101" s="12" t="inlineStr">
        <is>
          <t>Telkom Tech Support</t>
        </is>
      </c>
      <c r="F101" s="12" t="inlineStr">
        <is>
          <t>Durban</t>
        </is>
      </c>
      <c r="G101" s="21" t="n">
        <v>45569</v>
      </c>
      <c r="H101" s="13" t="inlineStr">
        <is>
          <t>Active</t>
        </is>
      </c>
      <c r="I101" s="13" t="inlineStr"/>
      <c r="J101" s="13" t="n">
        <v>24</v>
      </c>
      <c r="K101" s="22">
        <f>IF(H101="Resigned",(I101-G101),(TODAY()-G101))/30.437</f>
        <v/>
      </c>
      <c r="L101" s="12">
        <f>IF(K101&lt;3,"0-3 months",IF(K101&lt;6,"3-6 months",IF(K101&lt;12,"6-12 months","12+ months")))</f>
        <v/>
      </c>
      <c r="M101" s="23" t="n">
        <v>28000</v>
      </c>
    </row>
    <row r="102">
      <c r="A102" s="10" t="inlineStr">
        <is>
          <t>E3098</t>
        </is>
      </c>
      <c r="B102" s="9" t="inlineStr">
        <is>
          <t>Nonhlanhla Botha</t>
        </is>
      </c>
      <c r="C102" s="10" t="inlineStr">
        <is>
          <t>Female</t>
        </is>
      </c>
      <c r="D102" s="9" t="inlineStr">
        <is>
          <t>Operations</t>
        </is>
      </c>
      <c r="E102" s="9" t="inlineStr">
        <is>
          <t>Nedbank Debt Review</t>
        </is>
      </c>
      <c r="F102" s="9" t="inlineStr">
        <is>
          <t>Pretoria</t>
        </is>
      </c>
      <c r="G102" s="24" t="n">
        <v>45802</v>
      </c>
      <c r="H102" s="10" t="inlineStr">
        <is>
          <t>Active</t>
        </is>
      </c>
      <c r="I102" s="10" t="inlineStr"/>
      <c r="J102" s="10" t="n">
        <v>19</v>
      </c>
      <c r="K102" s="25">
        <f>IF(H102="Resigned",(I102-G102),(TODAY()-G102))/30.437</f>
        <v/>
      </c>
      <c r="L102" s="9">
        <f>IF(K102&lt;3,"0-3 months",IF(K102&lt;6,"3-6 months",IF(K102&lt;12,"6-12 months","12+ months")))</f>
        <v/>
      </c>
      <c r="M102" s="26" t="n">
        <v>28000</v>
      </c>
    </row>
    <row r="103">
      <c r="A103" s="13" t="inlineStr">
        <is>
          <t>E3099</t>
        </is>
      </c>
      <c r="B103" s="12" t="inlineStr">
        <is>
          <t>Mandla Nkosi</t>
        </is>
      </c>
      <c r="C103" s="13" t="inlineStr">
        <is>
          <t>Female</t>
        </is>
      </c>
      <c r="D103" s="12" t="inlineStr">
        <is>
          <t>Operations</t>
        </is>
      </c>
      <c r="E103" s="12" t="inlineStr">
        <is>
          <t>MTN Retentions</t>
        </is>
      </c>
      <c r="F103" s="12" t="inlineStr">
        <is>
          <t>Pretoria</t>
        </is>
      </c>
      <c r="G103" s="21" t="n">
        <v>45260</v>
      </c>
      <c r="H103" s="13" t="inlineStr">
        <is>
          <t>Active</t>
        </is>
      </c>
      <c r="I103" s="13" t="inlineStr"/>
      <c r="J103" s="13" t="n">
        <v>26</v>
      </c>
      <c r="K103" s="22">
        <f>IF(H103="Resigned",(I103-G103),(TODAY()-G103))/30.437</f>
        <v/>
      </c>
      <c r="L103" s="12">
        <f>IF(K103&lt;3,"0-3 months",IF(K103&lt;6,"3-6 months",IF(K103&lt;12,"6-12 months","12+ months")))</f>
        <v/>
      </c>
      <c r="M103" s="23" t="n">
        <v>33000</v>
      </c>
    </row>
    <row r="104">
      <c r="A104" s="10" t="inlineStr">
        <is>
          <t>E3100</t>
        </is>
      </c>
      <c r="B104" s="9" t="inlineStr">
        <is>
          <t>Kabelo Pillay</t>
        </is>
      </c>
      <c r="C104" s="10" t="inlineStr">
        <is>
          <t>Female</t>
        </is>
      </c>
      <c r="D104" s="9" t="inlineStr">
        <is>
          <t>Customer Care</t>
        </is>
      </c>
      <c r="E104" s="9" t="inlineStr">
        <is>
          <t>MTN Retentions</t>
        </is>
      </c>
      <c r="F104" s="9" t="inlineStr">
        <is>
          <t>Durban</t>
        </is>
      </c>
      <c r="G104" s="24" t="n">
        <v>45681</v>
      </c>
      <c r="H104" s="10" t="inlineStr">
        <is>
          <t>Active</t>
        </is>
      </c>
      <c r="I104" s="10" t="inlineStr"/>
      <c r="J104" s="10" t="n">
        <v>29</v>
      </c>
      <c r="K104" s="25">
        <f>IF(H104="Resigned",(I104-G104),(TODAY()-G104))/30.437</f>
        <v/>
      </c>
      <c r="L104" s="9">
        <f>IF(K104&lt;3,"0-3 months",IF(K104&lt;6,"3-6 months",IF(K104&lt;12,"6-12 months","12+ months")))</f>
        <v/>
      </c>
      <c r="M104" s="26" t="n">
        <v>15000</v>
      </c>
    </row>
    <row r="105">
      <c r="A105" s="13" t="inlineStr">
        <is>
          <t>E3101</t>
        </is>
      </c>
      <c r="B105" s="12" t="inlineStr">
        <is>
          <t>Andile Molefe</t>
        </is>
      </c>
      <c r="C105" s="13" t="inlineStr">
        <is>
          <t>Male</t>
        </is>
      </c>
      <c r="D105" s="12" t="inlineStr">
        <is>
          <t>Team Leaders</t>
        </is>
      </c>
      <c r="E105" s="12" t="inlineStr">
        <is>
          <t>DStv Upsell</t>
        </is>
      </c>
      <c r="F105" s="12" t="inlineStr">
        <is>
          <t>Pretoria</t>
        </is>
      </c>
      <c r="G105" s="21" t="n">
        <v>45279</v>
      </c>
      <c r="H105" s="13" t="inlineStr">
        <is>
          <t>Active</t>
        </is>
      </c>
      <c r="I105" s="13" t="inlineStr"/>
      <c r="J105" s="13" t="n">
        <v>19</v>
      </c>
      <c r="K105" s="22">
        <f>IF(H105="Resigned",(I105-G105),(TODAY()-G105))/30.437</f>
        <v/>
      </c>
      <c r="L105" s="12">
        <f>IF(K105&lt;3,"0-3 months",IF(K105&lt;6,"3-6 months",IF(K105&lt;12,"6-12 months","12+ months")))</f>
        <v/>
      </c>
      <c r="M105" s="23" t="n">
        <v>15000</v>
      </c>
    </row>
    <row r="106">
      <c r="A106" s="10" t="inlineStr">
        <is>
          <t>E3102</t>
        </is>
      </c>
      <c r="B106" s="9" t="inlineStr">
        <is>
          <t>Kabelo Fourie</t>
        </is>
      </c>
      <c r="C106" s="10" t="inlineStr">
        <is>
          <t>Female</t>
        </is>
      </c>
      <c r="D106" s="9" t="inlineStr">
        <is>
          <t>Team Leaders</t>
        </is>
      </c>
      <c r="E106" s="9" t="inlineStr">
        <is>
          <t>Cell C Winback</t>
        </is>
      </c>
      <c r="F106" s="9" t="inlineStr">
        <is>
          <t>Durban</t>
        </is>
      </c>
      <c r="G106" s="24" t="n">
        <v>45806</v>
      </c>
      <c r="H106" s="10" t="inlineStr">
        <is>
          <t>Active</t>
        </is>
      </c>
      <c r="I106" s="10" t="inlineStr"/>
      <c r="J106" s="10" t="n">
        <v>39</v>
      </c>
      <c r="K106" s="25">
        <f>IF(H106="Resigned",(I106-G106),(TODAY()-G106))/30.437</f>
        <v/>
      </c>
      <c r="L106" s="9">
        <f>IF(K106&lt;3,"0-3 months",IF(K106&lt;6,"3-6 months",IF(K106&lt;12,"6-12 months","12+ months")))</f>
        <v/>
      </c>
      <c r="M106" s="26" t="n">
        <v>28000</v>
      </c>
    </row>
    <row r="107">
      <c r="A107" s="13" t="inlineStr">
        <is>
          <t>E3103</t>
        </is>
      </c>
      <c r="B107" s="12" t="inlineStr">
        <is>
          <t>Nonhlanhla Khumalo</t>
        </is>
      </c>
      <c r="C107" s="13" t="inlineStr">
        <is>
          <t>Male</t>
        </is>
      </c>
      <c r="D107" s="12" t="inlineStr">
        <is>
          <t>Admin</t>
        </is>
      </c>
      <c r="E107" s="12" t="inlineStr">
        <is>
          <t>Cell C Winback</t>
        </is>
      </c>
      <c r="F107" s="12" t="inlineStr">
        <is>
          <t>Johannesburg</t>
        </is>
      </c>
      <c r="G107" s="21" t="n">
        <v>45558</v>
      </c>
      <c r="H107" s="13" t="inlineStr">
        <is>
          <t>Active</t>
        </is>
      </c>
      <c r="I107" s="13" t="inlineStr"/>
      <c r="J107" s="13" t="n">
        <v>52</v>
      </c>
      <c r="K107" s="22">
        <f>IF(H107="Resigned",(I107-G107),(TODAY()-G107))/30.437</f>
        <v/>
      </c>
      <c r="L107" s="12">
        <f>IF(K107&lt;3,"0-3 months",IF(K107&lt;6,"3-6 months",IF(K107&lt;12,"6-12 months","12+ months")))</f>
        <v/>
      </c>
      <c r="M107" s="23" t="n">
        <v>16500</v>
      </c>
    </row>
    <row r="108">
      <c r="A108" s="10" t="inlineStr">
        <is>
          <t>E3104</t>
        </is>
      </c>
      <c r="B108" s="9" t="inlineStr">
        <is>
          <t>Thabo Buthelezi</t>
        </is>
      </c>
      <c r="C108" s="10" t="inlineStr">
        <is>
          <t>Female</t>
        </is>
      </c>
      <c r="D108" s="9" t="inlineStr">
        <is>
          <t>Team Leaders</t>
        </is>
      </c>
      <c r="E108" s="9" t="inlineStr">
        <is>
          <t>ABSA Collections</t>
        </is>
      </c>
      <c r="F108" s="9" t="inlineStr">
        <is>
          <t>Pretoria</t>
        </is>
      </c>
      <c r="G108" s="24" t="n">
        <v>45145</v>
      </c>
      <c r="H108" s="10" t="inlineStr">
        <is>
          <t>Active</t>
        </is>
      </c>
      <c r="I108" s="10" t="inlineStr"/>
      <c r="J108" s="10" t="n">
        <v>46</v>
      </c>
      <c r="K108" s="25">
        <f>IF(H108="Resigned",(I108-G108),(TODAY()-G108))/30.437</f>
        <v/>
      </c>
      <c r="L108" s="9">
        <f>IF(K108&lt;3,"0-3 months",IF(K108&lt;6,"3-6 months",IF(K108&lt;12,"6-12 months","12+ months")))</f>
        <v/>
      </c>
      <c r="M108" s="26" t="n">
        <v>21000</v>
      </c>
    </row>
    <row r="109">
      <c r="A109" s="13" t="inlineStr">
        <is>
          <t>E3105</t>
        </is>
      </c>
      <c r="B109" s="12" t="inlineStr">
        <is>
          <t>Amahle Adams</t>
        </is>
      </c>
      <c r="C109" s="13" t="inlineStr">
        <is>
          <t>Female</t>
        </is>
      </c>
      <c r="D109" s="12" t="inlineStr">
        <is>
          <t>Operations</t>
        </is>
      </c>
      <c r="E109" s="12" t="inlineStr">
        <is>
          <t>ABSA Collections</t>
        </is>
      </c>
      <c r="F109" s="12" t="inlineStr">
        <is>
          <t>Port Elizabeth</t>
        </is>
      </c>
      <c r="G109" s="21" t="n">
        <v>45049</v>
      </c>
      <c r="H109" s="13" t="inlineStr">
        <is>
          <t>Active</t>
        </is>
      </c>
      <c r="I109" s="13" t="inlineStr"/>
      <c r="J109" s="13" t="n">
        <v>33</v>
      </c>
      <c r="K109" s="22">
        <f>IF(H109="Resigned",(I109-G109),(TODAY()-G109))/30.437</f>
        <v/>
      </c>
      <c r="L109" s="12">
        <f>IF(K109&lt;3,"0-3 months",IF(K109&lt;6,"3-6 months",IF(K109&lt;12,"6-12 months","12+ months")))</f>
        <v/>
      </c>
      <c r="M109" s="23" t="n">
        <v>24000</v>
      </c>
    </row>
    <row r="110">
      <c r="A110" s="10" t="inlineStr">
        <is>
          <t>E3106</t>
        </is>
      </c>
      <c r="B110" s="9" t="inlineStr">
        <is>
          <t>Anele Mokoena</t>
        </is>
      </c>
      <c r="C110" s="10" t="inlineStr">
        <is>
          <t>Male</t>
        </is>
      </c>
      <c r="D110" s="9" t="inlineStr">
        <is>
          <t>Operations</t>
        </is>
      </c>
      <c r="E110" s="9" t="inlineStr">
        <is>
          <t>Vodacom Upgrades</t>
        </is>
      </c>
      <c r="F110" s="9" t="inlineStr">
        <is>
          <t>Pretoria</t>
        </is>
      </c>
      <c r="G110" s="24" t="n">
        <v>46032</v>
      </c>
      <c r="H110" s="10" t="inlineStr">
        <is>
          <t>Active</t>
        </is>
      </c>
      <c r="I110" s="10" t="inlineStr"/>
      <c r="J110" s="10" t="n">
        <v>24</v>
      </c>
      <c r="K110" s="25">
        <f>IF(H110="Resigned",(I110-G110),(TODAY()-G110))/30.437</f>
        <v/>
      </c>
      <c r="L110" s="9">
        <f>IF(K110&lt;3,"0-3 months",IF(K110&lt;6,"3-6 months",IF(K110&lt;12,"6-12 months","12+ months")))</f>
        <v/>
      </c>
      <c r="M110" s="26" t="n">
        <v>39000</v>
      </c>
    </row>
    <row r="111">
      <c r="A111" s="13" t="inlineStr">
        <is>
          <t>E3107</t>
        </is>
      </c>
      <c r="B111" s="12" t="inlineStr">
        <is>
          <t>Zinhle Maseko</t>
        </is>
      </c>
      <c r="C111" s="13" t="inlineStr">
        <is>
          <t>Female</t>
        </is>
      </c>
      <c r="D111" s="12" t="inlineStr">
        <is>
          <t>IT Support</t>
        </is>
      </c>
      <c r="E111" s="12" t="inlineStr">
        <is>
          <t>OUTsurance Sales</t>
        </is>
      </c>
      <c r="F111" s="12" t="inlineStr">
        <is>
          <t>Johannesburg</t>
        </is>
      </c>
      <c r="G111" s="21" t="n">
        <v>45866</v>
      </c>
      <c r="H111" s="13" t="inlineStr">
        <is>
          <t>Active</t>
        </is>
      </c>
      <c r="I111" s="13" t="inlineStr"/>
      <c r="J111" s="13" t="n">
        <v>35</v>
      </c>
      <c r="K111" s="22">
        <f>IF(H111="Resigned",(I111-G111),(TODAY()-G111))/30.437</f>
        <v/>
      </c>
      <c r="L111" s="12">
        <f>IF(K111&lt;3,"0-3 months",IF(K111&lt;6,"3-6 months",IF(K111&lt;12,"6-12 months","12+ months")))</f>
        <v/>
      </c>
      <c r="M111" s="23" t="n">
        <v>13500</v>
      </c>
    </row>
    <row r="112">
      <c r="A112" s="10" t="inlineStr">
        <is>
          <t>E3108</t>
        </is>
      </c>
      <c r="B112" s="9" t="inlineStr">
        <is>
          <t>Anele Jacobs</t>
        </is>
      </c>
      <c r="C112" s="10" t="inlineStr">
        <is>
          <t>Female</t>
        </is>
      </c>
      <c r="D112" s="9" t="inlineStr">
        <is>
          <t>Team Leaders</t>
        </is>
      </c>
      <c r="E112" s="9" t="inlineStr">
        <is>
          <t>Nedbank Debt Review</t>
        </is>
      </c>
      <c r="F112" s="9" t="inlineStr">
        <is>
          <t>Durban</t>
        </is>
      </c>
      <c r="G112" s="24" t="n">
        <v>45363</v>
      </c>
      <c r="H112" s="10" t="inlineStr">
        <is>
          <t>Active</t>
        </is>
      </c>
      <c r="I112" s="10" t="inlineStr"/>
      <c r="J112" s="10" t="n">
        <v>35</v>
      </c>
      <c r="K112" s="25">
        <f>IF(H112="Resigned",(I112-G112),(TODAY()-G112))/30.437</f>
        <v/>
      </c>
      <c r="L112" s="9">
        <f>IF(K112&lt;3,"0-3 months",IF(K112&lt;6,"3-6 months",IF(K112&lt;12,"6-12 months","12+ months")))</f>
        <v/>
      </c>
      <c r="M112" s="26" t="n">
        <v>15000</v>
      </c>
    </row>
    <row r="113">
      <c r="A113" s="13" t="inlineStr">
        <is>
          <t>E3109</t>
        </is>
      </c>
      <c r="B113" s="12" t="inlineStr">
        <is>
          <t>Zodwa Khumalo</t>
        </is>
      </c>
      <c r="C113" s="13" t="inlineStr">
        <is>
          <t>Female</t>
        </is>
      </c>
      <c r="D113" s="12" t="inlineStr">
        <is>
          <t>Sales</t>
        </is>
      </c>
      <c r="E113" s="12" t="inlineStr">
        <is>
          <t>Nedbank Debt Review</t>
        </is>
      </c>
      <c r="F113" s="12" t="inlineStr">
        <is>
          <t>Port Elizabeth</t>
        </is>
      </c>
      <c r="G113" s="21" t="n">
        <v>46016</v>
      </c>
      <c r="H113" s="13" t="inlineStr">
        <is>
          <t>Resigned</t>
        </is>
      </c>
      <c r="I113" s="21" t="n">
        <v>46061</v>
      </c>
      <c r="J113" s="13" t="n">
        <v>19</v>
      </c>
      <c r="K113" s="22">
        <f>IF(H113="Resigned",(I113-G113),(TODAY()-G113))/30.437</f>
        <v/>
      </c>
      <c r="L113" s="12">
        <f>IF(K113&lt;3,"0-3 months",IF(K113&lt;6,"3-6 months",IF(K113&lt;12,"6-12 months","12+ months")))</f>
        <v/>
      </c>
      <c r="M113" s="23" t="n">
        <v>15000</v>
      </c>
    </row>
    <row r="114">
      <c r="A114" s="10" t="inlineStr">
        <is>
          <t>E3110</t>
        </is>
      </c>
      <c r="B114" s="9" t="inlineStr">
        <is>
          <t>Onalenna Motaung</t>
        </is>
      </c>
      <c r="C114" s="10" t="inlineStr">
        <is>
          <t>Female</t>
        </is>
      </c>
      <c r="D114" s="9" t="inlineStr">
        <is>
          <t>IT Support</t>
        </is>
      </c>
      <c r="E114" s="9" t="inlineStr">
        <is>
          <t>ABSA Collections</t>
        </is>
      </c>
      <c r="F114" s="9" t="inlineStr">
        <is>
          <t>Johannesburg</t>
        </is>
      </c>
      <c r="G114" s="24" t="n">
        <v>45803</v>
      </c>
      <c r="H114" s="10" t="inlineStr">
        <is>
          <t>Resigned</t>
        </is>
      </c>
      <c r="I114" s="24" t="n">
        <v>46236</v>
      </c>
      <c r="J114" s="10" t="n">
        <v>30</v>
      </c>
      <c r="K114" s="25">
        <f>IF(H114="Resigned",(I114-G114),(TODAY()-G114))/30.437</f>
        <v/>
      </c>
      <c r="L114" s="9">
        <f>IF(K114&lt;3,"0-3 months",IF(K114&lt;6,"3-6 months",IF(K114&lt;12,"6-12 months","12+ months")))</f>
        <v/>
      </c>
      <c r="M114" s="26" t="n">
        <v>21000</v>
      </c>
    </row>
    <row r="115">
      <c r="A115" s="13" t="inlineStr">
        <is>
          <t>E3111</t>
        </is>
      </c>
      <c r="B115" s="12" t="inlineStr">
        <is>
          <t>Portia Buthelezi</t>
        </is>
      </c>
      <c r="C115" s="13" t="inlineStr">
        <is>
          <t>Female</t>
        </is>
      </c>
      <c r="D115" s="12" t="inlineStr">
        <is>
          <t>Quality</t>
        </is>
      </c>
      <c r="E115" s="12" t="inlineStr">
        <is>
          <t>ABSA Collections</t>
        </is>
      </c>
      <c r="F115" s="12" t="inlineStr">
        <is>
          <t>Pretoria</t>
        </is>
      </c>
      <c r="G115" s="21" t="n">
        <v>45559</v>
      </c>
      <c r="H115" s="13" t="inlineStr">
        <is>
          <t>Active</t>
        </is>
      </c>
      <c r="I115" s="13" t="inlineStr"/>
      <c r="J115" s="13" t="n">
        <v>45</v>
      </c>
      <c r="K115" s="22">
        <f>IF(H115="Resigned",(I115-G115),(TODAY()-G115))/30.437</f>
        <v/>
      </c>
      <c r="L115" s="12">
        <f>IF(K115&lt;3,"0-3 months",IF(K115&lt;6,"3-6 months",IF(K115&lt;12,"6-12 months","12+ months")))</f>
        <v/>
      </c>
      <c r="M115" s="23" t="n">
        <v>15000</v>
      </c>
    </row>
    <row r="116">
      <c r="A116" s="10" t="inlineStr">
        <is>
          <t>E3112</t>
        </is>
      </c>
      <c r="B116" s="9" t="inlineStr">
        <is>
          <t>Sibusiso Sithole</t>
        </is>
      </c>
      <c r="C116" s="10" t="inlineStr">
        <is>
          <t>Male</t>
        </is>
      </c>
      <c r="D116" s="9" t="inlineStr">
        <is>
          <t>Operations</t>
        </is>
      </c>
      <c r="E116" s="9" t="inlineStr">
        <is>
          <t>DStv Upsell</t>
        </is>
      </c>
      <c r="F116" s="9" t="inlineStr">
        <is>
          <t>Durban</t>
        </is>
      </c>
      <c r="G116" s="24" t="n">
        <v>46197</v>
      </c>
      <c r="H116" s="10" t="inlineStr">
        <is>
          <t>Resigned</t>
        </is>
      </c>
      <c r="I116" s="24" t="n">
        <v>46222</v>
      </c>
      <c r="J116" s="10" t="n">
        <v>34</v>
      </c>
      <c r="K116" s="25">
        <f>IF(H116="Resigned",(I116-G116),(TODAY()-G116))/30.437</f>
        <v/>
      </c>
      <c r="L116" s="9">
        <f>IF(K116&lt;3,"0-3 months",IF(K116&lt;6,"3-6 months",IF(K116&lt;12,"6-12 months","12+ months")))</f>
        <v/>
      </c>
      <c r="M116" s="26" t="n">
        <v>33000</v>
      </c>
    </row>
    <row r="117">
      <c r="A117" s="13" t="inlineStr">
        <is>
          <t>E3113</t>
        </is>
      </c>
      <c r="B117" s="12" t="inlineStr">
        <is>
          <t>Andile Botha</t>
        </is>
      </c>
      <c r="C117" s="13" t="inlineStr">
        <is>
          <t>Female</t>
        </is>
      </c>
      <c r="D117" s="12" t="inlineStr">
        <is>
          <t>Operations</t>
        </is>
      </c>
      <c r="E117" s="12" t="inlineStr">
        <is>
          <t>Nedbank Debt Review</t>
        </is>
      </c>
      <c r="F117" s="12" t="inlineStr">
        <is>
          <t>Port Elizabeth</t>
        </is>
      </c>
      <c r="G117" s="21" t="n">
        <v>45953</v>
      </c>
      <c r="H117" s="13" t="inlineStr">
        <is>
          <t>Active</t>
        </is>
      </c>
      <c r="I117" s="13" t="inlineStr"/>
      <c r="J117" s="13" t="n">
        <v>23</v>
      </c>
      <c r="K117" s="22">
        <f>IF(H117="Resigned",(I117-G117),(TODAY()-G117))/30.437</f>
        <v/>
      </c>
      <c r="L117" s="12">
        <f>IF(K117&lt;3,"0-3 months",IF(K117&lt;6,"3-6 months",IF(K117&lt;12,"6-12 months","12+ months")))</f>
        <v/>
      </c>
      <c r="M117" s="23" t="n">
        <v>16500</v>
      </c>
    </row>
    <row r="118">
      <c r="A118" s="10" t="inlineStr">
        <is>
          <t>E3114</t>
        </is>
      </c>
      <c r="B118" s="9" t="inlineStr">
        <is>
          <t>Nkanyiso Motaung</t>
        </is>
      </c>
      <c r="C118" s="10" t="inlineStr">
        <is>
          <t>Female</t>
        </is>
      </c>
      <c r="D118" s="9" t="inlineStr">
        <is>
          <t>Quality</t>
        </is>
      </c>
      <c r="E118" s="9" t="inlineStr">
        <is>
          <t>DStv Upsell</t>
        </is>
      </c>
      <c r="F118" s="9" t="inlineStr">
        <is>
          <t>Port Elizabeth</t>
        </is>
      </c>
      <c r="G118" s="24" t="n">
        <v>45759</v>
      </c>
      <c r="H118" s="10" t="inlineStr">
        <is>
          <t>Active</t>
        </is>
      </c>
      <c r="I118" s="10" t="inlineStr"/>
      <c r="J118" s="10" t="n">
        <v>46</v>
      </c>
      <c r="K118" s="25">
        <f>IF(H118="Resigned",(I118-G118),(TODAY()-G118))/30.437</f>
        <v/>
      </c>
      <c r="L118" s="9">
        <f>IF(K118&lt;3,"0-3 months",IF(K118&lt;6,"3-6 months",IF(K118&lt;12,"6-12 months","12+ months")))</f>
        <v/>
      </c>
      <c r="M118" s="26" t="n">
        <v>39000</v>
      </c>
    </row>
    <row r="119">
      <c r="A119" s="13" t="inlineStr">
        <is>
          <t>E3115</t>
        </is>
      </c>
      <c r="B119" s="12" t="inlineStr">
        <is>
          <t>Precious Motaung</t>
        </is>
      </c>
      <c r="C119" s="13" t="inlineStr">
        <is>
          <t>Female</t>
        </is>
      </c>
      <c r="D119" s="12" t="inlineStr">
        <is>
          <t>Operations</t>
        </is>
      </c>
      <c r="E119" s="12" t="inlineStr">
        <is>
          <t>Takealot Care</t>
        </is>
      </c>
      <c r="F119" s="12" t="inlineStr">
        <is>
          <t>Cape Town</t>
        </is>
      </c>
      <c r="G119" s="21" t="n">
        <v>44972</v>
      </c>
      <c r="H119" s="13" t="inlineStr">
        <is>
          <t>Active</t>
        </is>
      </c>
      <c r="I119" s="13" t="inlineStr"/>
      <c r="J119" s="13" t="n">
        <v>27</v>
      </c>
      <c r="K119" s="22">
        <f>IF(H119="Resigned",(I119-G119),(TODAY()-G119))/30.437</f>
        <v/>
      </c>
      <c r="L119" s="12">
        <f>IF(K119&lt;3,"0-3 months",IF(K119&lt;6,"3-6 months",IF(K119&lt;12,"6-12 months","12+ months")))</f>
        <v/>
      </c>
      <c r="M119" s="23" t="n">
        <v>33000</v>
      </c>
    </row>
    <row r="120">
      <c r="A120" s="10" t="inlineStr">
        <is>
          <t>E3116</t>
        </is>
      </c>
      <c r="B120" s="9" t="inlineStr">
        <is>
          <t>Mpho Khumalo</t>
        </is>
      </c>
      <c r="C120" s="10" t="inlineStr">
        <is>
          <t>Female</t>
        </is>
      </c>
      <c r="D120" s="9" t="inlineStr">
        <is>
          <t>Operations</t>
        </is>
      </c>
      <c r="E120" s="9" t="inlineStr">
        <is>
          <t>ABSA Collections</t>
        </is>
      </c>
      <c r="F120" s="9" t="inlineStr">
        <is>
          <t>Pretoria</t>
        </is>
      </c>
      <c r="G120" s="24" t="n">
        <v>45461</v>
      </c>
      <c r="H120" s="10" t="inlineStr">
        <is>
          <t>Active</t>
        </is>
      </c>
      <c r="I120" s="10" t="inlineStr"/>
      <c r="J120" s="10" t="n">
        <v>40</v>
      </c>
      <c r="K120" s="25">
        <f>IF(H120="Resigned",(I120-G120),(TODAY()-G120))/30.437</f>
        <v/>
      </c>
      <c r="L120" s="9">
        <f>IF(K120&lt;3,"0-3 months",IF(K120&lt;6,"3-6 months",IF(K120&lt;12,"6-12 months","12+ months")))</f>
        <v/>
      </c>
      <c r="M120" s="26" t="n">
        <v>15000</v>
      </c>
    </row>
    <row r="121">
      <c r="A121" s="13" t="inlineStr">
        <is>
          <t>E3117</t>
        </is>
      </c>
      <c r="B121" s="12" t="inlineStr">
        <is>
          <t>Vusi Nkosi</t>
        </is>
      </c>
      <c r="C121" s="13" t="inlineStr">
        <is>
          <t>Female</t>
        </is>
      </c>
      <c r="D121" s="12" t="inlineStr">
        <is>
          <t>Training</t>
        </is>
      </c>
      <c r="E121" s="12" t="inlineStr">
        <is>
          <t>Standard Bank Helpdesk</t>
        </is>
      </c>
      <c r="F121" s="12" t="inlineStr">
        <is>
          <t>Durban</t>
        </is>
      </c>
      <c r="G121" s="21" t="n">
        <v>45203</v>
      </c>
      <c r="H121" s="13" t="inlineStr">
        <is>
          <t>Resigned</t>
        </is>
      </c>
      <c r="I121" s="21" t="n">
        <v>46130</v>
      </c>
      <c r="J121" s="13" t="n">
        <v>28</v>
      </c>
      <c r="K121" s="22">
        <f>IF(H121="Resigned",(I121-G121),(TODAY()-G121))/30.437</f>
        <v/>
      </c>
      <c r="L121" s="12">
        <f>IF(K121&lt;3,"0-3 months",IF(K121&lt;6,"3-6 months",IF(K121&lt;12,"6-12 months","12+ months")))</f>
        <v/>
      </c>
      <c r="M121" s="23" t="n">
        <v>15000</v>
      </c>
    </row>
    <row r="122">
      <c r="A122" s="10" t="inlineStr">
        <is>
          <t>E3118</t>
        </is>
      </c>
      <c r="B122" s="9" t="inlineStr">
        <is>
          <t>Nokuthula Mokoena</t>
        </is>
      </c>
      <c r="C122" s="10" t="inlineStr">
        <is>
          <t>Female</t>
        </is>
      </c>
      <c r="D122" s="9" t="inlineStr">
        <is>
          <t>Quality</t>
        </is>
      </c>
      <c r="E122" s="9" t="inlineStr">
        <is>
          <t>MTN Retentions</t>
        </is>
      </c>
      <c r="F122" s="9" t="inlineStr">
        <is>
          <t>Port Elizabeth</t>
        </is>
      </c>
      <c r="G122" s="24" t="n">
        <v>45472</v>
      </c>
      <c r="H122" s="10" t="inlineStr">
        <is>
          <t>Active</t>
        </is>
      </c>
      <c r="I122" s="10" t="inlineStr"/>
      <c r="J122" s="10" t="n">
        <v>43</v>
      </c>
      <c r="K122" s="25">
        <f>IF(H122="Resigned",(I122-G122),(TODAY()-G122))/30.437</f>
        <v/>
      </c>
      <c r="L122" s="9">
        <f>IF(K122&lt;3,"0-3 months",IF(K122&lt;6,"3-6 months",IF(K122&lt;12,"6-12 months","12+ months")))</f>
        <v/>
      </c>
      <c r="M122" s="26" t="n">
        <v>28000</v>
      </c>
    </row>
    <row r="123">
      <c r="A123" s="13" t="inlineStr">
        <is>
          <t>E3119</t>
        </is>
      </c>
      <c r="B123" s="12" t="inlineStr">
        <is>
          <t>Karabo Jacobs</t>
        </is>
      </c>
      <c r="C123" s="13" t="inlineStr">
        <is>
          <t>Male</t>
        </is>
      </c>
      <c r="D123" s="12" t="inlineStr">
        <is>
          <t>Quality</t>
        </is>
      </c>
      <c r="E123" s="12" t="inlineStr">
        <is>
          <t>Discovery Lead Gen</t>
        </is>
      </c>
      <c r="F123" s="12" t="inlineStr">
        <is>
          <t>Cape Town</t>
        </is>
      </c>
      <c r="G123" s="21" t="n">
        <v>45988</v>
      </c>
      <c r="H123" s="13" t="inlineStr">
        <is>
          <t>Active</t>
        </is>
      </c>
      <c r="I123" s="13" t="inlineStr"/>
      <c r="J123" s="13" t="n">
        <v>47</v>
      </c>
      <c r="K123" s="22">
        <f>IF(H123="Resigned",(I123-G123),(TODAY()-G123))/30.437</f>
        <v/>
      </c>
      <c r="L123" s="12">
        <f>IF(K123&lt;3,"0-3 months",IF(K123&lt;6,"3-6 months",IF(K123&lt;12,"6-12 months","12+ months")))</f>
        <v/>
      </c>
      <c r="M123" s="23" t="n">
        <v>16500</v>
      </c>
    </row>
    <row r="124">
      <c r="A124" s="10" t="inlineStr">
        <is>
          <t>E3120</t>
        </is>
      </c>
      <c r="B124" s="9" t="inlineStr">
        <is>
          <t>Bandile Naidoo</t>
        </is>
      </c>
      <c r="C124" s="10" t="inlineStr">
        <is>
          <t>Female</t>
        </is>
      </c>
      <c r="D124" s="9" t="inlineStr">
        <is>
          <t>Team Leaders</t>
        </is>
      </c>
      <c r="E124" s="9" t="inlineStr">
        <is>
          <t>Takealot Care</t>
        </is>
      </c>
      <c r="F124" s="9" t="inlineStr">
        <is>
          <t>Port Elizabeth</t>
        </is>
      </c>
      <c r="G124" s="24" t="n">
        <v>45869</v>
      </c>
      <c r="H124" s="10" t="inlineStr">
        <is>
          <t>Active</t>
        </is>
      </c>
      <c r="I124" s="10" t="inlineStr"/>
      <c r="J124" s="10" t="n">
        <v>26</v>
      </c>
      <c r="K124" s="25">
        <f>IF(H124="Resigned",(I124-G124),(TODAY()-G124))/30.437</f>
        <v/>
      </c>
      <c r="L124" s="9">
        <f>IF(K124&lt;3,"0-3 months",IF(K124&lt;6,"3-6 months",IF(K124&lt;12,"6-12 months","12+ months")))</f>
        <v/>
      </c>
      <c r="M124" s="26" t="n">
        <v>21000</v>
      </c>
    </row>
    <row r="125">
      <c r="A125" s="13" t="inlineStr">
        <is>
          <t>E3121</t>
        </is>
      </c>
      <c r="B125" s="12" t="inlineStr">
        <is>
          <t>Lindiwe Meyer</t>
        </is>
      </c>
      <c r="C125" s="13" t="inlineStr">
        <is>
          <t>Female</t>
        </is>
      </c>
      <c r="D125" s="12" t="inlineStr">
        <is>
          <t>IT Support</t>
        </is>
      </c>
      <c r="E125" s="12" t="inlineStr">
        <is>
          <t>DStv Upsell</t>
        </is>
      </c>
      <c r="F125" s="12" t="inlineStr">
        <is>
          <t>Durban</t>
        </is>
      </c>
      <c r="G125" s="21" t="n">
        <v>45575</v>
      </c>
      <c r="H125" s="13" t="inlineStr">
        <is>
          <t>Active</t>
        </is>
      </c>
      <c r="I125" s="13" t="inlineStr"/>
      <c r="J125" s="13" t="n">
        <v>50</v>
      </c>
      <c r="K125" s="22">
        <f>IF(H125="Resigned",(I125-G125),(TODAY()-G125))/30.437</f>
        <v/>
      </c>
      <c r="L125" s="12">
        <f>IF(K125&lt;3,"0-3 months",IF(K125&lt;6,"3-6 months",IF(K125&lt;12,"6-12 months","12+ months")))</f>
        <v/>
      </c>
      <c r="M125" s="23" t="n">
        <v>15000</v>
      </c>
    </row>
    <row r="126">
      <c r="A126" s="10" t="inlineStr">
        <is>
          <t>E3122</t>
        </is>
      </c>
      <c r="B126" s="9" t="inlineStr">
        <is>
          <t>Nonhlanhla Ndlovu</t>
        </is>
      </c>
      <c r="C126" s="10" t="inlineStr">
        <is>
          <t>Male</t>
        </is>
      </c>
      <c r="D126" s="9" t="inlineStr">
        <is>
          <t>Sales</t>
        </is>
      </c>
      <c r="E126" s="9" t="inlineStr">
        <is>
          <t>Cell C Winback</t>
        </is>
      </c>
      <c r="F126" s="9" t="inlineStr">
        <is>
          <t>Cape Town</t>
        </is>
      </c>
      <c r="G126" s="24" t="n">
        <v>45845</v>
      </c>
      <c r="H126" s="10" t="inlineStr">
        <is>
          <t>Active</t>
        </is>
      </c>
      <c r="I126" s="10" t="inlineStr"/>
      <c r="J126" s="10" t="n">
        <v>33</v>
      </c>
      <c r="K126" s="25">
        <f>IF(H126="Resigned",(I126-G126),(TODAY()-G126))/30.437</f>
        <v/>
      </c>
      <c r="L126" s="9">
        <f>IF(K126&lt;3,"0-3 months",IF(K126&lt;6,"3-6 months",IF(K126&lt;12,"6-12 months","12+ months")))</f>
        <v/>
      </c>
      <c r="M126" s="26" t="n">
        <v>24000</v>
      </c>
    </row>
    <row r="127">
      <c r="A127" s="13" t="inlineStr">
        <is>
          <t>E3123</t>
        </is>
      </c>
      <c r="B127" s="12" t="inlineStr">
        <is>
          <t>Ntombizodwa Ngcobo</t>
        </is>
      </c>
      <c r="C127" s="13" t="inlineStr">
        <is>
          <t>Male</t>
        </is>
      </c>
      <c r="D127" s="12" t="inlineStr">
        <is>
          <t>Sales</t>
        </is>
      </c>
      <c r="E127" s="12" t="inlineStr">
        <is>
          <t>Telkom Tech Support</t>
        </is>
      </c>
      <c r="F127" s="12" t="inlineStr">
        <is>
          <t>Pretoria</t>
        </is>
      </c>
      <c r="G127" s="21" t="n">
        <v>46157</v>
      </c>
      <c r="H127" s="13" t="inlineStr">
        <is>
          <t>Resigned</t>
        </is>
      </c>
      <c r="I127" s="21" t="n">
        <v>46205</v>
      </c>
      <c r="J127" s="13" t="n">
        <v>27</v>
      </c>
      <c r="K127" s="22">
        <f>IF(H127="Resigned",(I127-G127),(TODAY()-G127))/30.437</f>
        <v/>
      </c>
      <c r="L127" s="12">
        <f>IF(K127&lt;3,"0-3 months",IF(K127&lt;6,"3-6 months",IF(K127&lt;12,"6-12 months","12+ months")))</f>
        <v/>
      </c>
      <c r="M127" s="23" t="n">
        <v>18500</v>
      </c>
    </row>
    <row r="128">
      <c r="A128" s="10" t="inlineStr">
        <is>
          <t>E3124</t>
        </is>
      </c>
      <c r="B128" s="9" t="inlineStr">
        <is>
          <t>Musa Mahlangu</t>
        </is>
      </c>
      <c r="C128" s="10" t="inlineStr">
        <is>
          <t>Female</t>
        </is>
      </c>
      <c r="D128" s="9" t="inlineStr">
        <is>
          <t>Admin</t>
        </is>
      </c>
      <c r="E128" s="9" t="inlineStr">
        <is>
          <t>Cell C Winback</t>
        </is>
      </c>
      <c r="F128" s="9" t="inlineStr">
        <is>
          <t>Durban</t>
        </is>
      </c>
      <c r="G128" s="24" t="n">
        <v>45843</v>
      </c>
      <c r="H128" s="10" t="inlineStr">
        <is>
          <t>Active</t>
        </is>
      </c>
      <c r="I128" s="10" t="inlineStr"/>
      <c r="J128" s="10" t="n">
        <v>24</v>
      </c>
      <c r="K128" s="25">
        <f>IF(H128="Resigned",(I128-G128),(TODAY()-G128))/30.437</f>
        <v/>
      </c>
      <c r="L128" s="9">
        <f>IF(K128&lt;3,"0-3 months",IF(K128&lt;6,"3-6 months",IF(K128&lt;12,"6-12 months","12+ months")))</f>
        <v/>
      </c>
      <c r="M128" s="26" t="n">
        <v>21000</v>
      </c>
    </row>
    <row r="129">
      <c r="A129" s="13" t="inlineStr">
        <is>
          <t>E3125</t>
        </is>
      </c>
      <c r="B129" s="12" t="inlineStr">
        <is>
          <t>Mandla Adams</t>
        </is>
      </c>
      <c r="C129" s="13" t="inlineStr">
        <is>
          <t>Female</t>
        </is>
      </c>
      <c r="D129" s="12" t="inlineStr">
        <is>
          <t>Operations</t>
        </is>
      </c>
      <c r="E129" s="12" t="inlineStr">
        <is>
          <t>Vodacom Upgrades</t>
        </is>
      </c>
      <c r="F129" s="12" t="inlineStr">
        <is>
          <t>Port Elizabeth</t>
        </is>
      </c>
      <c r="G129" s="21" t="n">
        <v>45873</v>
      </c>
      <c r="H129" s="13" t="inlineStr">
        <is>
          <t>Active</t>
        </is>
      </c>
      <c r="I129" s="13" t="inlineStr"/>
      <c r="J129" s="13" t="n">
        <v>50</v>
      </c>
      <c r="K129" s="22">
        <f>IF(H129="Resigned",(I129-G129),(TODAY()-G129))/30.437</f>
        <v/>
      </c>
      <c r="L129" s="12">
        <f>IF(K129&lt;3,"0-3 months",IF(K129&lt;6,"3-6 months",IF(K129&lt;12,"6-12 months","12+ months")))</f>
        <v/>
      </c>
      <c r="M129" s="23" t="n">
        <v>21000</v>
      </c>
    </row>
    <row r="130">
      <c r="A130" s="10" t="inlineStr">
        <is>
          <t>E3126</t>
        </is>
      </c>
      <c r="B130" s="9" t="inlineStr">
        <is>
          <t>Vusi Motaung</t>
        </is>
      </c>
      <c r="C130" s="10" t="inlineStr">
        <is>
          <t>Male</t>
        </is>
      </c>
      <c r="D130" s="9" t="inlineStr">
        <is>
          <t>IT Support</t>
        </is>
      </c>
      <c r="E130" s="9" t="inlineStr">
        <is>
          <t>MTN Retentions</t>
        </is>
      </c>
      <c r="F130" s="9" t="inlineStr">
        <is>
          <t>Cape Town</t>
        </is>
      </c>
      <c r="G130" s="24" t="n">
        <v>46143</v>
      </c>
      <c r="H130" s="10" t="inlineStr">
        <is>
          <t>Active</t>
        </is>
      </c>
      <c r="I130" s="10" t="inlineStr"/>
      <c r="J130" s="10" t="n">
        <v>23</v>
      </c>
      <c r="K130" s="25">
        <f>IF(H130="Resigned",(I130-G130),(TODAY()-G130))/30.437</f>
        <v/>
      </c>
      <c r="L130" s="9">
        <f>IF(K130&lt;3,"0-3 months",IF(K130&lt;6,"3-6 months",IF(K130&lt;12,"6-12 months","12+ months")))</f>
        <v/>
      </c>
      <c r="M130" s="26" t="n">
        <v>13500</v>
      </c>
    </row>
    <row r="131">
      <c r="A131" s="13" t="inlineStr">
        <is>
          <t>E3127</t>
        </is>
      </c>
      <c r="B131" s="12" t="inlineStr">
        <is>
          <t>Nosipho Tshabalala</t>
        </is>
      </c>
      <c r="C131" s="13" t="inlineStr">
        <is>
          <t>Female</t>
        </is>
      </c>
      <c r="D131" s="12" t="inlineStr">
        <is>
          <t>Team Leaders</t>
        </is>
      </c>
      <c r="E131" s="12" t="inlineStr">
        <is>
          <t>DStv Upsell</t>
        </is>
      </c>
      <c r="F131" s="12" t="inlineStr">
        <is>
          <t>Port Elizabeth</t>
        </is>
      </c>
      <c r="G131" s="21" t="n">
        <v>45108</v>
      </c>
      <c r="H131" s="13" t="inlineStr">
        <is>
          <t>Active</t>
        </is>
      </c>
      <c r="I131" s="13" t="inlineStr"/>
      <c r="J131" s="13" t="n">
        <v>25</v>
      </c>
      <c r="K131" s="22">
        <f>IF(H131="Resigned",(I131-G131),(TODAY()-G131))/30.437</f>
        <v/>
      </c>
      <c r="L131" s="12">
        <f>IF(K131&lt;3,"0-3 months",IF(K131&lt;6,"3-6 months",IF(K131&lt;12,"6-12 months","12+ months")))</f>
        <v/>
      </c>
      <c r="M131" s="23" t="n">
        <v>15000</v>
      </c>
    </row>
    <row r="132">
      <c r="A132" s="10" t="inlineStr">
        <is>
          <t>E3128</t>
        </is>
      </c>
      <c r="B132" s="9" t="inlineStr">
        <is>
          <t>Onalenna Nkosi</t>
        </is>
      </c>
      <c r="C132" s="10" t="inlineStr">
        <is>
          <t>Male</t>
        </is>
      </c>
      <c r="D132" s="9" t="inlineStr">
        <is>
          <t>Sales</t>
        </is>
      </c>
      <c r="E132" s="9" t="inlineStr">
        <is>
          <t>OUTsurance Sales</t>
        </is>
      </c>
      <c r="F132" s="9" t="inlineStr">
        <is>
          <t>Pretoria</t>
        </is>
      </c>
      <c r="G132" s="24" t="n">
        <v>45372</v>
      </c>
      <c r="H132" s="10" t="inlineStr">
        <is>
          <t>Resigned</t>
        </is>
      </c>
      <c r="I132" s="24" t="n">
        <v>45712</v>
      </c>
      <c r="J132" s="10" t="n">
        <v>38</v>
      </c>
      <c r="K132" s="25">
        <f>IF(H132="Resigned",(I132-G132),(TODAY()-G132))/30.437</f>
        <v/>
      </c>
      <c r="L132" s="9">
        <f>IF(K132&lt;3,"0-3 months",IF(K132&lt;6,"3-6 months",IF(K132&lt;12,"6-12 months","12+ months")))</f>
        <v/>
      </c>
      <c r="M132" s="26" t="n">
        <v>16500</v>
      </c>
    </row>
    <row r="133">
      <c r="A133" s="13" t="inlineStr">
        <is>
          <t>E3129</t>
        </is>
      </c>
      <c r="B133" s="12" t="inlineStr">
        <is>
          <t>Lindiwe Radebe</t>
        </is>
      </c>
      <c r="C133" s="13" t="inlineStr">
        <is>
          <t>Female</t>
        </is>
      </c>
      <c r="D133" s="12" t="inlineStr">
        <is>
          <t>Quality</t>
        </is>
      </c>
      <c r="E133" s="12" t="inlineStr">
        <is>
          <t>Telkom Tech Support</t>
        </is>
      </c>
      <c r="F133" s="12" t="inlineStr">
        <is>
          <t>Cape Town</t>
        </is>
      </c>
      <c r="G133" s="21" t="n">
        <v>45867</v>
      </c>
      <c r="H133" s="13" t="inlineStr">
        <is>
          <t>Active</t>
        </is>
      </c>
      <c r="I133" s="13" t="inlineStr"/>
      <c r="J133" s="13" t="n">
        <v>25</v>
      </c>
      <c r="K133" s="22">
        <f>IF(H133="Resigned",(I133-G133),(TODAY()-G133))/30.437</f>
        <v/>
      </c>
      <c r="L133" s="12">
        <f>IF(K133&lt;3,"0-3 months",IF(K133&lt;6,"3-6 months",IF(K133&lt;12,"6-12 months","12+ months")))</f>
        <v/>
      </c>
      <c r="M133" s="23" t="n">
        <v>24000</v>
      </c>
    </row>
    <row r="134">
      <c r="A134" s="10" t="inlineStr">
        <is>
          <t>E3130</t>
        </is>
      </c>
      <c r="B134" s="9" t="inlineStr">
        <is>
          <t>Nonhlanhla Ngcobo</t>
        </is>
      </c>
      <c r="C134" s="10" t="inlineStr">
        <is>
          <t>Male</t>
        </is>
      </c>
      <c r="D134" s="9" t="inlineStr">
        <is>
          <t>Admin</t>
        </is>
      </c>
      <c r="E134" s="9" t="inlineStr">
        <is>
          <t>Takealot Care</t>
        </is>
      </c>
      <c r="F134" s="9" t="inlineStr">
        <is>
          <t>Cape Town</t>
        </is>
      </c>
      <c r="G134" s="24" t="n">
        <v>45932</v>
      </c>
      <c r="H134" s="10" t="inlineStr">
        <is>
          <t>Active</t>
        </is>
      </c>
      <c r="I134" s="10" t="inlineStr"/>
      <c r="J134" s="10" t="n">
        <v>55</v>
      </c>
      <c r="K134" s="25">
        <f>IF(H134="Resigned",(I134-G134),(TODAY()-G134))/30.437</f>
        <v/>
      </c>
      <c r="L134" s="9">
        <f>IF(K134&lt;3,"0-3 months",IF(K134&lt;6,"3-6 months",IF(K134&lt;12,"6-12 months","12+ months")))</f>
        <v/>
      </c>
      <c r="M134" s="26" t="n">
        <v>18500</v>
      </c>
    </row>
    <row r="135">
      <c r="A135" s="13" t="inlineStr">
        <is>
          <t>E3131</t>
        </is>
      </c>
      <c r="B135" s="12" t="inlineStr">
        <is>
          <t>Nomvula Nel</t>
        </is>
      </c>
      <c r="C135" s="13" t="inlineStr">
        <is>
          <t>Female</t>
        </is>
      </c>
      <c r="D135" s="12" t="inlineStr">
        <is>
          <t>Quality</t>
        </is>
      </c>
      <c r="E135" s="12" t="inlineStr">
        <is>
          <t>Nedbank Debt Review</t>
        </is>
      </c>
      <c r="F135" s="12" t="inlineStr">
        <is>
          <t>Johannesburg</t>
        </is>
      </c>
      <c r="G135" s="21" t="n">
        <v>45203</v>
      </c>
      <c r="H135" s="13" t="inlineStr">
        <is>
          <t>Resigned</t>
        </is>
      </c>
      <c r="I135" s="21" t="n">
        <v>46229</v>
      </c>
      <c r="J135" s="13" t="n">
        <v>34</v>
      </c>
      <c r="K135" s="22">
        <f>IF(H135="Resigned",(I135-G135),(TODAY()-G135))/30.437</f>
        <v/>
      </c>
      <c r="L135" s="12">
        <f>IF(K135&lt;3,"0-3 months",IF(K135&lt;6,"3-6 months",IF(K135&lt;12,"6-12 months","12+ months")))</f>
        <v/>
      </c>
      <c r="M135" s="23" t="n">
        <v>16500</v>
      </c>
    </row>
    <row r="136">
      <c r="A136" s="10" t="inlineStr">
        <is>
          <t>E3132</t>
        </is>
      </c>
      <c r="B136" s="9" t="inlineStr">
        <is>
          <t>Nomvula Meyer</t>
        </is>
      </c>
      <c r="C136" s="10" t="inlineStr">
        <is>
          <t>Male</t>
        </is>
      </c>
      <c r="D136" s="9" t="inlineStr">
        <is>
          <t>Training</t>
        </is>
      </c>
      <c r="E136" s="9" t="inlineStr">
        <is>
          <t>Cell C Winback</t>
        </is>
      </c>
      <c r="F136" s="9" t="inlineStr">
        <is>
          <t>Durban</t>
        </is>
      </c>
      <c r="G136" s="24" t="n">
        <v>46011</v>
      </c>
      <c r="H136" s="10" t="inlineStr">
        <is>
          <t>Active</t>
        </is>
      </c>
      <c r="I136" s="10" t="inlineStr"/>
      <c r="J136" s="10" t="n">
        <v>19</v>
      </c>
      <c r="K136" s="25">
        <f>IF(H136="Resigned",(I136-G136),(TODAY()-G136))/30.437</f>
        <v/>
      </c>
      <c r="L136" s="9">
        <f>IF(K136&lt;3,"0-3 months",IF(K136&lt;6,"3-6 months",IF(K136&lt;12,"6-12 months","12+ months")))</f>
        <v/>
      </c>
      <c r="M136" s="26" t="n">
        <v>16500</v>
      </c>
    </row>
    <row r="137">
      <c r="A137" s="13" t="inlineStr">
        <is>
          <t>E3133</t>
        </is>
      </c>
      <c r="B137" s="12" t="inlineStr">
        <is>
          <t>Thabo Radebe</t>
        </is>
      </c>
      <c r="C137" s="13" t="inlineStr">
        <is>
          <t>Male</t>
        </is>
      </c>
      <c r="D137" s="12" t="inlineStr">
        <is>
          <t>Customer Care</t>
        </is>
      </c>
      <c r="E137" s="12" t="inlineStr">
        <is>
          <t>Shoprite Surveys</t>
        </is>
      </c>
      <c r="F137" s="12" t="inlineStr">
        <is>
          <t>Port Elizabeth</t>
        </is>
      </c>
      <c r="G137" s="21" t="n">
        <v>46002</v>
      </c>
      <c r="H137" s="13" t="inlineStr">
        <is>
          <t>Active</t>
        </is>
      </c>
      <c r="I137" s="13" t="inlineStr"/>
      <c r="J137" s="13" t="n">
        <v>49</v>
      </c>
      <c r="K137" s="22">
        <f>IF(H137="Resigned",(I137-G137),(TODAY()-G137))/30.437</f>
        <v/>
      </c>
      <c r="L137" s="12">
        <f>IF(K137&lt;3,"0-3 months",IF(K137&lt;6,"3-6 months",IF(K137&lt;12,"6-12 months","12+ months")))</f>
        <v/>
      </c>
      <c r="M137" s="23" t="n">
        <v>15000</v>
      </c>
    </row>
    <row r="138">
      <c r="A138" s="10" t="inlineStr">
        <is>
          <t>E3134</t>
        </is>
      </c>
      <c r="B138" s="9" t="inlineStr">
        <is>
          <t>Keabetswe Mabaso</t>
        </is>
      </c>
      <c r="C138" s="10" t="inlineStr">
        <is>
          <t>Female</t>
        </is>
      </c>
      <c r="D138" s="9" t="inlineStr">
        <is>
          <t>Quality</t>
        </is>
      </c>
      <c r="E138" s="9" t="inlineStr">
        <is>
          <t>Takealot Care</t>
        </is>
      </c>
      <c r="F138" s="9" t="inlineStr">
        <is>
          <t>Durban</t>
        </is>
      </c>
      <c r="G138" s="24" t="n">
        <v>45151</v>
      </c>
      <c r="H138" s="10" t="inlineStr">
        <is>
          <t>Active</t>
        </is>
      </c>
      <c r="I138" s="10" t="inlineStr"/>
      <c r="J138" s="10" t="n">
        <v>55</v>
      </c>
      <c r="K138" s="25">
        <f>IF(H138="Resigned",(I138-G138),(TODAY()-G138))/30.437</f>
        <v/>
      </c>
      <c r="L138" s="9">
        <f>IF(K138&lt;3,"0-3 months",IF(K138&lt;6,"3-6 months",IF(K138&lt;12,"6-12 months","12+ months")))</f>
        <v/>
      </c>
      <c r="M138" s="26" t="n">
        <v>28000</v>
      </c>
    </row>
    <row r="139">
      <c r="A139" s="13" t="inlineStr">
        <is>
          <t>E3135</t>
        </is>
      </c>
      <c r="B139" s="12" t="inlineStr">
        <is>
          <t>Dineo Tshabalala</t>
        </is>
      </c>
      <c r="C139" s="13" t="inlineStr">
        <is>
          <t>Female</t>
        </is>
      </c>
      <c r="D139" s="12" t="inlineStr">
        <is>
          <t>IT Support</t>
        </is>
      </c>
      <c r="E139" s="12" t="inlineStr">
        <is>
          <t>DStv Upsell</t>
        </is>
      </c>
      <c r="F139" s="12" t="inlineStr">
        <is>
          <t>Pretoria</t>
        </is>
      </c>
      <c r="G139" s="21" t="n">
        <v>45851</v>
      </c>
      <c r="H139" s="13" t="inlineStr">
        <is>
          <t>Active</t>
        </is>
      </c>
      <c r="I139" s="13" t="inlineStr"/>
      <c r="J139" s="13" t="n">
        <v>44</v>
      </c>
      <c r="K139" s="22">
        <f>IF(H139="Resigned",(I139-G139),(TODAY()-G139))/30.437</f>
        <v/>
      </c>
      <c r="L139" s="12">
        <f>IF(K139&lt;3,"0-3 months",IF(K139&lt;6,"3-6 months",IF(K139&lt;12,"6-12 months","12+ months")))</f>
        <v/>
      </c>
      <c r="M139" s="23" t="n">
        <v>18500</v>
      </c>
    </row>
    <row r="140">
      <c r="A140" s="10" t="inlineStr">
        <is>
          <t>E3136</t>
        </is>
      </c>
      <c r="B140" s="9" t="inlineStr">
        <is>
          <t>Wandile Khumalo</t>
        </is>
      </c>
      <c r="C140" s="10" t="inlineStr">
        <is>
          <t>Female</t>
        </is>
      </c>
      <c r="D140" s="9" t="inlineStr">
        <is>
          <t>IT Support</t>
        </is>
      </c>
      <c r="E140" s="9" t="inlineStr">
        <is>
          <t>Telkom Tech Support</t>
        </is>
      </c>
      <c r="F140" s="9" t="inlineStr">
        <is>
          <t>Johannesburg</t>
        </is>
      </c>
      <c r="G140" s="24" t="n">
        <v>45556</v>
      </c>
      <c r="H140" s="10" t="inlineStr">
        <is>
          <t>Active</t>
        </is>
      </c>
      <c r="I140" s="10" t="inlineStr"/>
      <c r="J140" s="10" t="n">
        <v>20</v>
      </c>
      <c r="K140" s="25">
        <f>IF(H140="Resigned",(I140-G140),(TODAY()-G140))/30.437</f>
        <v/>
      </c>
      <c r="L140" s="9">
        <f>IF(K140&lt;3,"0-3 months",IF(K140&lt;6,"3-6 months",IF(K140&lt;12,"6-12 months","12+ months")))</f>
        <v/>
      </c>
      <c r="M140" s="26" t="n">
        <v>16500</v>
      </c>
    </row>
    <row r="141">
      <c r="A141" s="13" t="inlineStr">
        <is>
          <t>E3137</t>
        </is>
      </c>
      <c r="B141" s="12" t="inlineStr">
        <is>
          <t>Onalenna Fourie</t>
        </is>
      </c>
      <c r="C141" s="13" t="inlineStr">
        <is>
          <t>Male</t>
        </is>
      </c>
      <c r="D141" s="12" t="inlineStr">
        <is>
          <t>Operations</t>
        </is>
      </c>
      <c r="E141" s="12" t="inlineStr">
        <is>
          <t>Telkom Tech Support</t>
        </is>
      </c>
      <c r="F141" s="12" t="inlineStr">
        <is>
          <t>Port Elizabeth</t>
        </is>
      </c>
      <c r="G141" s="21" t="n">
        <v>45645</v>
      </c>
      <c r="H141" s="13" t="inlineStr">
        <is>
          <t>Active</t>
        </is>
      </c>
      <c r="I141" s="13" t="inlineStr"/>
      <c r="J141" s="13" t="n">
        <v>19</v>
      </c>
      <c r="K141" s="22">
        <f>IF(H141="Resigned",(I141-G141),(TODAY()-G141))/30.437</f>
        <v/>
      </c>
      <c r="L141" s="12">
        <f>IF(K141&lt;3,"0-3 months",IF(K141&lt;6,"3-6 months",IF(K141&lt;12,"6-12 months","12+ months")))</f>
        <v/>
      </c>
      <c r="M141" s="23" t="n">
        <v>28000</v>
      </c>
    </row>
    <row r="142">
      <c r="A142" s="10" t="inlineStr">
        <is>
          <t>E3138</t>
        </is>
      </c>
      <c r="B142" s="9" t="inlineStr">
        <is>
          <t>Anele Adams</t>
        </is>
      </c>
      <c r="C142" s="10" t="inlineStr">
        <is>
          <t>Female</t>
        </is>
      </c>
      <c r="D142" s="9" t="inlineStr">
        <is>
          <t>Training</t>
        </is>
      </c>
      <c r="E142" s="9" t="inlineStr">
        <is>
          <t>OUTsurance Sales</t>
        </is>
      </c>
      <c r="F142" s="9" t="inlineStr">
        <is>
          <t>Johannesburg</t>
        </is>
      </c>
      <c r="G142" s="24" t="n">
        <v>45590</v>
      </c>
      <c r="H142" s="10" t="inlineStr">
        <is>
          <t>Active</t>
        </is>
      </c>
      <c r="I142" s="10" t="inlineStr"/>
      <c r="J142" s="10" t="n">
        <v>33</v>
      </c>
      <c r="K142" s="25">
        <f>IF(H142="Resigned",(I142-G142),(TODAY()-G142))/30.437</f>
        <v/>
      </c>
      <c r="L142" s="9">
        <f>IF(K142&lt;3,"0-3 months",IF(K142&lt;6,"3-6 months",IF(K142&lt;12,"6-12 months","12+ months")))</f>
        <v/>
      </c>
      <c r="M142" s="26" t="n">
        <v>21000</v>
      </c>
    </row>
    <row r="143">
      <c r="A143" s="13" t="inlineStr">
        <is>
          <t>E3139</t>
        </is>
      </c>
      <c r="B143" s="12" t="inlineStr">
        <is>
          <t>Musa Ndlovu</t>
        </is>
      </c>
      <c r="C143" s="13" t="inlineStr">
        <is>
          <t>Male</t>
        </is>
      </c>
      <c r="D143" s="12" t="inlineStr">
        <is>
          <t>Quality</t>
        </is>
      </c>
      <c r="E143" s="12" t="inlineStr">
        <is>
          <t>DStv Upsell</t>
        </is>
      </c>
      <c r="F143" s="12" t="inlineStr">
        <is>
          <t>Durban</t>
        </is>
      </c>
      <c r="G143" s="21" t="n">
        <v>45989</v>
      </c>
      <c r="H143" s="13" t="inlineStr">
        <is>
          <t>Active</t>
        </is>
      </c>
      <c r="I143" s="13" t="inlineStr"/>
      <c r="J143" s="13" t="n">
        <v>27</v>
      </c>
      <c r="K143" s="22">
        <f>IF(H143="Resigned",(I143-G143),(TODAY()-G143))/30.437</f>
        <v/>
      </c>
      <c r="L143" s="12">
        <f>IF(K143&lt;3,"0-3 months",IF(K143&lt;6,"3-6 months",IF(K143&lt;12,"6-12 months","12+ months")))</f>
        <v/>
      </c>
      <c r="M143" s="23" t="n">
        <v>18500</v>
      </c>
    </row>
    <row r="144">
      <c r="A144" s="10" t="inlineStr">
        <is>
          <t>E3140</t>
        </is>
      </c>
      <c r="B144" s="9" t="inlineStr">
        <is>
          <t>Gift Mahlangu</t>
        </is>
      </c>
      <c r="C144" s="10" t="inlineStr">
        <is>
          <t>Female</t>
        </is>
      </c>
      <c r="D144" s="9" t="inlineStr">
        <is>
          <t>Quality</t>
        </is>
      </c>
      <c r="E144" s="9" t="inlineStr">
        <is>
          <t>Telkom Tech Support</t>
        </is>
      </c>
      <c r="F144" s="9" t="inlineStr">
        <is>
          <t>Johannesburg</t>
        </is>
      </c>
      <c r="G144" s="24" t="n">
        <v>45029</v>
      </c>
      <c r="H144" s="10" t="inlineStr">
        <is>
          <t>Resigned</t>
        </is>
      </c>
      <c r="I144" s="24" t="n">
        <v>45344</v>
      </c>
      <c r="J144" s="10" t="n">
        <v>30</v>
      </c>
      <c r="K144" s="25">
        <f>IF(H144="Resigned",(I144-G144),(TODAY()-G144))/30.437</f>
        <v/>
      </c>
      <c r="L144" s="9">
        <f>IF(K144&lt;3,"0-3 months",IF(K144&lt;6,"3-6 months",IF(K144&lt;12,"6-12 months","12+ months")))</f>
        <v/>
      </c>
      <c r="M144" s="26" t="n">
        <v>18500</v>
      </c>
    </row>
    <row r="145">
      <c r="A145" s="13" t="inlineStr">
        <is>
          <t>E3141</t>
        </is>
      </c>
      <c r="B145" s="12" t="inlineStr">
        <is>
          <t>Musa Maseko</t>
        </is>
      </c>
      <c r="C145" s="13" t="inlineStr">
        <is>
          <t>Male</t>
        </is>
      </c>
      <c r="D145" s="12" t="inlineStr">
        <is>
          <t>Training</t>
        </is>
      </c>
      <c r="E145" s="12" t="inlineStr">
        <is>
          <t>MTN Retentions</t>
        </is>
      </c>
      <c r="F145" s="12" t="inlineStr">
        <is>
          <t>Cape Town</t>
        </is>
      </c>
      <c r="G145" s="21" t="n">
        <v>45881</v>
      </c>
      <c r="H145" s="13" t="inlineStr">
        <is>
          <t>Resigned</t>
        </is>
      </c>
      <c r="I145" s="21" t="n">
        <v>46085</v>
      </c>
      <c r="J145" s="13" t="n">
        <v>19</v>
      </c>
      <c r="K145" s="22">
        <f>IF(H145="Resigned",(I145-G145),(TODAY()-G145))/30.437</f>
        <v/>
      </c>
      <c r="L145" s="12">
        <f>IF(K145&lt;3,"0-3 months",IF(K145&lt;6,"3-6 months",IF(K145&lt;12,"6-12 months","12+ months")))</f>
        <v/>
      </c>
      <c r="M145" s="23" t="n">
        <v>28000</v>
      </c>
    </row>
    <row r="146">
      <c r="A146" s="10" t="inlineStr">
        <is>
          <t>E3142</t>
        </is>
      </c>
      <c r="B146" s="9" t="inlineStr">
        <is>
          <t>Tshepo Mokoena</t>
        </is>
      </c>
      <c r="C146" s="10" t="inlineStr">
        <is>
          <t>Male</t>
        </is>
      </c>
      <c r="D146" s="9" t="inlineStr">
        <is>
          <t>IT Support</t>
        </is>
      </c>
      <c r="E146" s="9" t="inlineStr">
        <is>
          <t>Cell C Winback</t>
        </is>
      </c>
      <c r="F146" s="9" t="inlineStr">
        <is>
          <t>Durban</t>
        </is>
      </c>
      <c r="G146" s="24" t="n">
        <v>46158</v>
      </c>
      <c r="H146" s="10" t="inlineStr">
        <is>
          <t>Active</t>
        </is>
      </c>
      <c r="I146" s="10" t="inlineStr"/>
      <c r="J146" s="10" t="n">
        <v>47</v>
      </c>
      <c r="K146" s="25">
        <f>IF(H146="Resigned",(I146-G146),(TODAY()-G146))/30.437</f>
        <v/>
      </c>
      <c r="L146" s="9">
        <f>IF(K146&lt;3,"0-3 months",IF(K146&lt;6,"3-6 months",IF(K146&lt;12,"6-12 months","12+ months")))</f>
        <v/>
      </c>
      <c r="M146" s="26" t="n">
        <v>21000</v>
      </c>
    </row>
    <row r="147">
      <c r="A147" s="13" t="inlineStr">
        <is>
          <t>E3143</t>
        </is>
      </c>
      <c r="B147" s="12" t="inlineStr">
        <is>
          <t>Kabelo Pillay</t>
        </is>
      </c>
      <c r="C147" s="13" t="inlineStr">
        <is>
          <t>Female</t>
        </is>
      </c>
      <c r="D147" s="12" t="inlineStr">
        <is>
          <t>Admin</t>
        </is>
      </c>
      <c r="E147" s="12" t="inlineStr">
        <is>
          <t>OUTsurance Sales</t>
        </is>
      </c>
      <c r="F147" s="12" t="inlineStr">
        <is>
          <t>Johannesburg</t>
        </is>
      </c>
      <c r="G147" s="21" t="n">
        <v>45835</v>
      </c>
      <c r="H147" s="13" t="inlineStr">
        <is>
          <t>Resigned</t>
        </is>
      </c>
      <c r="I147" s="21" t="n">
        <v>45909</v>
      </c>
      <c r="J147" s="13" t="n">
        <v>36</v>
      </c>
      <c r="K147" s="22">
        <f>IF(H147="Resigned",(I147-G147),(TODAY()-G147))/30.437</f>
        <v/>
      </c>
      <c r="L147" s="12">
        <f>IF(K147&lt;3,"0-3 months",IF(K147&lt;6,"3-6 months",IF(K147&lt;12,"6-12 months","12+ months")))</f>
        <v/>
      </c>
      <c r="M147" s="23" t="n">
        <v>16500</v>
      </c>
    </row>
    <row r="148">
      <c r="A148" s="10" t="inlineStr">
        <is>
          <t>E3144</t>
        </is>
      </c>
      <c r="B148" s="9" t="inlineStr">
        <is>
          <t>Mandla Mahlangu</t>
        </is>
      </c>
      <c r="C148" s="10" t="inlineStr">
        <is>
          <t>Male</t>
        </is>
      </c>
      <c r="D148" s="9" t="inlineStr">
        <is>
          <t>Customer Care</t>
        </is>
      </c>
      <c r="E148" s="9" t="inlineStr">
        <is>
          <t>MTN Retentions</t>
        </is>
      </c>
      <c r="F148" s="9" t="inlineStr">
        <is>
          <t>Johannesburg</t>
        </is>
      </c>
      <c r="G148" s="24" t="n">
        <v>45852</v>
      </c>
      <c r="H148" s="10" t="inlineStr">
        <is>
          <t>Active</t>
        </is>
      </c>
      <c r="I148" s="10" t="inlineStr"/>
      <c r="J148" s="10" t="n">
        <v>53</v>
      </c>
      <c r="K148" s="25">
        <f>IF(H148="Resigned",(I148-G148),(TODAY()-G148))/30.437</f>
        <v/>
      </c>
      <c r="L148" s="9">
        <f>IF(K148&lt;3,"0-3 months",IF(K148&lt;6,"3-6 months",IF(K148&lt;12,"6-12 months","12+ months")))</f>
        <v/>
      </c>
      <c r="M148" s="26" t="n">
        <v>13500</v>
      </c>
    </row>
    <row r="149">
      <c r="A149" s="13" t="inlineStr">
        <is>
          <t>E3145</t>
        </is>
      </c>
      <c r="B149" s="12" t="inlineStr">
        <is>
          <t>Nosipho Nel</t>
        </is>
      </c>
      <c r="C149" s="13" t="inlineStr">
        <is>
          <t>Female</t>
        </is>
      </c>
      <c r="D149" s="12" t="inlineStr">
        <is>
          <t>Quality</t>
        </is>
      </c>
      <c r="E149" s="12" t="inlineStr">
        <is>
          <t>ABSA Collections</t>
        </is>
      </c>
      <c r="F149" s="12" t="inlineStr">
        <is>
          <t>Durban</t>
        </is>
      </c>
      <c r="G149" s="21" t="n">
        <v>45085</v>
      </c>
      <c r="H149" s="13" t="inlineStr">
        <is>
          <t>Active</t>
        </is>
      </c>
      <c r="I149" s="13" t="inlineStr"/>
      <c r="J149" s="13" t="n">
        <v>45</v>
      </c>
      <c r="K149" s="22">
        <f>IF(H149="Resigned",(I149-G149),(TODAY()-G149))/30.437</f>
        <v/>
      </c>
      <c r="L149" s="12">
        <f>IF(K149&lt;3,"0-3 months",IF(K149&lt;6,"3-6 months",IF(K149&lt;12,"6-12 months","12+ months")))</f>
        <v/>
      </c>
      <c r="M149" s="23" t="n">
        <v>13500</v>
      </c>
    </row>
    <row r="150">
      <c r="A150" s="10" t="inlineStr">
        <is>
          <t>E3146</t>
        </is>
      </c>
      <c r="B150" s="9" t="inlineStr">
        <is>
          <t>Mandla Van Wyk</t>
        </is>
      </c>
      <c r="C150" s="10" t="inlineStr">
        <is>
          <t>Male</t>
        </is>
      </c>
      <c r="D150" s="9" t="inlineStr">
        <is>
          <t>Admin</t>
        </is>
      </c>
      <c r="E150" s="9" t="inlineStr">
        <is>
          <t>Takealot Care</t>
        </is>
      </c>
      <c r="F150" s="9" t="inlineStr">
        <is>
          <t>Cape Town</t>
        </is>
      </c>
      <c r="G150" s="24" t="n">
        <v>45971</v>
      </c>
      <c r="H150" s="10" t="inlineStr">
        <is>
          <t>Active</t>
        </is>
      </c>
      <c r="I150" s="10" t="inlineStr"/>
      <c r="J150" s="10" t="n">
        <v>23</v>
      </c>
      <c r="K150" s="25">
        <f>IF(H150="Resigned",(I150-G150),(TODAY()-G150))/30.437</f>
        <v/>
      </c>
      <c r="L150" s="9">
        <f>IF(K150&lt;3,"0-3 months",IF(K150&lt;6,"3-6 months",IF(K150&lt;12,"6-12 months","12+ months")))</f>
        <v/>
      </c>
      <c r="M150" s="26" t="n">
        <v>28000</v>
      </c>
    </row>
    <row r="151">
      <c r="A151" s="13" t="inlineStr">
        <is>
          <t>E3147</t>
        </is>
      </c>
      <c r="B151" s="12" t="inlineStr">
        <is>
          <t>Lerato Van Wyk</t>
        </is>
      </c>
      <c r="C151" s="13" t="inlineStr">
        <is>
          <t>Female</t>
        </is>
      </c>
      <c r="D151" s="12" t="inlineStr">
        <is>
          <t>IT Support</t>
        </is>
      </c>
      <c r="E151" s="12" t="inlineStr">
        <is>
          <t>Discovery Lead Gen</t>
        </is>
      </c>
      <c r="F151" s="12" t="inlineStr">
        <is>
          <t>Johannesburg</t>
        </is>
      </c>
      <c r="G151" s="21" t="n">
        <v>44976</v>
      </c>
      <c r="H151" s="13" t="inlineStr">
        <is>
          <t>Resigned</t>
        </is>
      </c>
      <c r="I151" s="21" t="n">
        <v>46214</v>
      </c>
      <c r="J151" s="13" t="n">
        <v>26</v>
      </c>
      <c r="K151" s="22">
        <f>IF(H151="Resigned",(I151-G151),(TODAY()-G151))/30.437</f>
        <v/>
      </c>
      <c r="L151" s="12">
        <f>IF(K151&lt;3,"0-3 months",IF(K151&lt;6,"3-6 months",IF(K151&lt;12,"6-12 months","12+ months")))</f>
        <v/>
      </c>
      <c r="M151" s="23" t="n">
        <v>33000</v>
      </c>
    </row>
    <row r="152">
      <c r="A152" s="10" t="inlineStr">
        <is>
          <t>E3148</t>
        </is>
      </c>
      <c r="B152" s="9" t="inlineStr">
        <is>
          <t>Nkanyiso Molefe</t>
        </is>
      </c>
      <c r="C152" s="10" t="inlineStr">
        <is>
          <t>Male</t>
        </is>
      </c>
      <c r="D152" s="9" t="inlineStr">
        <is>
          <t>Team Leaders</t>
        </is>
      </c>
      <c r="E152" s="9" t="inlineStr">
        <is>
          <t>Nedbank Debt Review</t>
        </is>
      </c>
      <c r="F152" s="9" t="inlineStr">
        <is>
          <t>Johannesburg</t>
        </is>
      </c>
      <c r="G152" s="24" t="n">
        <v>46166</v>
      </c>
      <c r="H152" s="10" t="inlineStr">
        <is>
          <t>Active</t>
        </is>
      </c>
      <c r="I152" s="10" t="inlineStr"/>
      <c r="J152" s="10" t="n">
        <v>36</v>
      </c>
      <c r="K152" s="25">
        <f>IF(H152="Resigned",(I152-G152),(TODAY()-G152))/30.437</f>
        <v/>
      </c>
      <c r="L152" s="9">
        <f>IF(K152&lt;3,"0-3 months",IF(K152&lt;6,"3-6 months",IF(K152&lt;12,"6-12 months","12+ months")))</f>
        <v/>
      </c>
      <c r="M152" s="26" t="n">
        <v>24000</v>
      </c>
    </row>
    <row r="153">
      <c r="A153" s="13" t="inlineStr">
        <is>
          <t>E3149</t>
        </is>
      </c>
      <c r="B153" s="12" t="inlineStr">
        <is>
          <t>Tebogo Sithole</t>
        </is>
      </c>
      <c r="C153" s="13" t="inlineStr">
        <is>
          <t>Male</t>
        </is>
      </c>
      <c r="D153" s="12" t="inlineStr">
        <is>
          <t>Sales</t>
        </is>
      </c>
      <c r="E153" s="12" t="inlineStr">
        <is>
          <t>Nedbank Debt Review</t>
        </is>
      </c>
      <c r="F153" s="12" t="inlineStr">
        <is>
          <t>Johannesburg</t>
        </is>
      </c>
      <c r="G153" s="21" t="n">
        <v>45496</v>
      </c>
      <c r="H153" s="13" t="inlineStr">
        <is>
          <t>Active</t>
        </is>
      </c>
      <c r="I153" s="13" t="inlineStr"/>
      <c r="J153" s="13" t="n">
        <v>42</v>
      </c>
      <c r="K153" s="22">
        <f>IF(H153="Resigned",(I153-G153),(TODAY()-G153))/30.437</f>
        <v/>
      </c>
      <c r="L153" s="12">
        <f>IF(K153&lt;3,"0-3 months",IF(K153&lt;6,"3-6 months",IF(K153&lt;12,"6-12 months","12+ months")))</f>
        <v/>
      </c>
      <c r="M153" s="23" t="n">
        <v>16500</v>
      </c>
    </row>
    <row r="154">
      <c r="A154" s="10" t="inlineStr">
        <is>
          <t>E3150</t>
        </is>
      </c>
      <c r="B154" s="9" t="inlineStr">
        <is>
          <t>Mpho Ngcobo</t>
        </is>
      </c>
      <c r="C154" s="10" t="inlineStr">
        <is>
          <t>Female</t>
        </is>
      </c>
      <c r="D154" s="9" t="inlineStr">
        <is>
          <t>Sales</t>
        </is>
      </c>
      <c r="E154" s="9" t="inlineStr">
        <is>
          <t>Nedbank Debt Review</t>
        </is>
      </c>
      <c r="F154" s="9" t="inlineStr">
        <is>
          <t>Durban</t>
        </is>
      </c>
      <c r="G154" s="24" t="n">
        <v>45093</v>
      </c>
      <c r="H154" s="10" t="inlineStr">
        <is>
          <t>Active</t>
        </is>
      </c>
      <c r="I154" s="10" t="inlineStr"/>
      <c r="J154" s="10" t="n">
        <v>43</v>
      </c>
      <c r="K154" s="25">
        <f>IF(H154="Resigned",(I154-G154),(TODAY()-G154))/30.437</f>
        <v/>
      </c>
      <c r="L154" s="9">
        <f>IF(K154&lt;3,"0-3 months",IF(K154&lt;6,"3-6 months",IF(K154&lt;12,"6-12 months","12+ months")))</f>
        <v/>
      </c>
      <c r="M154" s="26" t="n">
        <v>18500</v>
      </c>
    </row>
    <row r="155">
      <c r="A155" s="13" t="inlineStr">
        <is>
          <t>E3151</t>
        </is>
      </c>
      <c r="B155" s="12" t="inlineStr">
        <is>
          <t>Anele Tshabalala</t>
        </is>
      </c>
      <c r="C155" s="13" t="inlineStr">
        <is>
          <t>Female</t>
        </is>
      </c>
      <c r="D155" s="12" t="inlineStr">
        <is>
          <t>IT Support</t>
        </is>
      </c>
      <c r="E155" s="12" t="inlineStr">
        <is>
          <t>Nedbank Debt Review</t>
        </is>
      </c>
      <c r="F155" s="12" t="inlineStr">
        <is>
          <t>Cape Town</t>
        </is>
      </c>
      <c r="G155" s="21" t="n">
        <v>45317</v>
      </c>
      <c r="H155" s="13" t="inlineStr">
        <is>
          <t>Resigned</t>
        </is>
      </c>
      <c r="I155" s="21" t="n">
        <v>45548</v>
      </c>
      <c r="J155" s="13" t="n">
        <v>38</v>
      </c>
      <c r="K155" s="22">
        <f>IF(H155="Resigned",(I155-G155),(TODAY()-G155))/30.437</f>
        <v/>
      </c>
      <c r="L155" s="12">
        <f>IF(K155&lt;3,"0-3 months",IF(K155&lt;6,"3-6 months",IF(K155&lt;12,"6-12 months","12+ months")))</f>
        <v/>
      </c>
      <c r="M155" s="23" t="n">
        <v>24000</v>
      </c>
    </row>
    <row r="156">
      <c r="A156" s="10" t="inlineStr">
        <is>
          <t>E3152</t>
        </is>
      </c>
      <c r="B156" s="9" t="inlineStr">
        <is>
          <t>Vusi Maseko</t>
        </is>
      </c>
      <c r="C156" s="10" t="inlineStr">
        <is>
          <t>Female</t>
        </is>
      </c>
      <c r="D156" s="9" t="inlineStr">
        <is>
          <t>Quality</t>
        </is>
      </c>
      <c r="E156" s="9" t="inlineStr">
        <is>
          <t>MTN Retentions</t>
        </is>
      </c>
      <c r="F156" s="9" t="inlineStr">
        <is>
          <t>Durban</t>
        </is>
      </c>
      <c r="G156" s="24" t="n">
        <v>45495</v>
      </c>
      <c r="H156" s="10" t="inlineStr">
        <is>
          <t>Active</t>
        </is>
      </c>
      <c r="I156" s="10" t="inlineStr"/>
      <c r="J156" s="10" t="n">
        <v>48</v>
      </c>
      <c r="K156" s="25">
        <f>IF(H156="Resigned",(I156-G156),(TODAY()-G156))/30.437</f>
        <v/>
      </c>
      <c r="L156" s="9">
        <f>IF(K156&lt;3,"0-3 months",IF(K156&lt;6,"3-6 months",IF(K156&lt;12,"6-12 months","12+ months")))</f>
        <v/>
      </c>
      <c r="M156" s="26" t="n">
        <v>18500</v>
      </c>
    </row>
    <row r="157">
      <c r="A157" s="13" t="inlineStr">
        <is>
          <t>E3153</t>
        </is>
      </c>
      <c r="B157" s="12" t="inlineStr">
        <is>
          <t>Ayanda Pillay</t>
        </is>
      </c>
      <c r="C157" s="13" t="inlineStr">
        <is>
          <t>Male</t>
        </is>
      </c>
      <c r="D157" s="12" t="inlineStr">
        <is>
          <t>Team Leaders</t>
        </is>
      </c>
      <c r="E157" s="12" t="inlineStr">
        <is>
          <t>OUTsurance Sales</t>
        </is>
      </c>
      <c r="F157" s="12" t="inlineStr">
        <is>
          <t>Durban</t>
        </is>
      </c>
      <c r="G157" s="21" t="n">
        <v>45117</v>
      </c>
      <c r="H157" s="13" t="inlineStr">
        <is>
          <t>Active</t>
        </is>
      </c>
      <c r="I157" s="13" t="inlineStr"/>
      <c r="J157" s="13" t="n">
        <v>43</v>
      </c>
      <c r="K157" s="22">
        <f>IF(H157="Resigned",(I157-G157),(TODAY()-G157))/30.437</f>
        <v/>
      </c>
      <c r="L157" s="12">
        <f>IF(K157&lt;3,"0-3 months",IF(K157&lt;6,"3-6 months",IF(K157&lt;12,"6-12 months","12+ months")))</f>
        <v/>
      </c>
      <c r="M157" s="23" t="n">
        <v>21000</v>
      </c>
    </row>
    <row r="158">
      <c r="A158" s="10" t="inlineStr">
        <is>
          <t>E3154</t>
        </is>
      </c>
      <c r="B158" s="9" t="inlineStr">
        <is>
          <t>Musa Meyer</t>
        </is>
      </c>
      <c r="C158" s="10" t="inlineStr">
        <is>
          <t>Male</t>
        </is>
      </c>
      <c r="D158" s="9" t="inlineStr">
        <is>
          <t>Operations</t>
        </is>
      </c>
      <c r="E158" s="9" t="inlineStr">
        <is>
          <t>Standard Bank Helpdesk</t>
        </is>
      </c>
      <c r="F158" s="9" t="inlineStr">
        <is>
          <t>Pretoria</t>
        </is>
      </c>
      <c r="G158" s="24" t="n">
        <v>45164</v>
      </c>
      <c r="H158" s="10" t="inlineStr">
        <is>
          <t>Active</t>
        </is>
      </c>
      <c r="I158" s="10" t="inlineStr"/>
      <c r="J158" s="10" t="n">
        <v>53</v>
      </c>
      <c r="K158" s="25">
        <f>IF(H158="Resigned",(I158-G158),(TODAY()-G158))/30.437</f>
        <v/>
      </c>
      <c r="L158" s="9">
        <f>IF(K158&lt;3,"0-3 months",IF(K158&lt;6,"3-6 months",IF(K158&lt;12,"6-12 months","12+ months")))</f>
        <v/>
      </c>
      <c r="M158" s="26" t="n">
        <v>28000</v>
      </c>
    </row>
    <row r="159">
      <c r="A159" s="13" t="inlineStr">
        <is>
          <t>E3155</t>
        </is>
      </c>
      <c r="B159" s="12" t="inlineStr">
        <is>
          <t>Nonhlanhla Dlamini</t>
        </is>
      </c>
      <c r="C159" s="13" t="inlineStr">
        <is>
          <t>Female</t>
        </is>
      </c>
      <c r="D159" s="12" t="inlineStr">
        <is>
          <t>IT Support</t>
        </is>
      </c>
      <c r="E159" s="12" t="inlineStr">
        <is>
          <t>Nedbank Debt Review</t>
        </is>
      </c>
      <c r="F159" s="12" t="inlineStr">
        <is>
          <t>Durban</t>
        </is>
      </c>
      <c r="G159" s="21" t="n">
        <v>45824</v>
      </c>
      <c r="H159" s="13" t="inlineStr">
        <is>
          <t>Active</t>
        </is>
      </c>
      <c r="I159" s="13" t="inlineStr"/>
      <c r="J159" s="13" t="n">
        <v>30</v>
      </c>
      <c r="K159" s="22">
        <f>IF(H159="Resigned",(I159-G159),(TODAY()-G159))/30.437</f>
        <v/>
      </c>
      <c r="L159" s="12">
        <f>IF(K159&lt;3,"0-3 months",IF(K159&lt;6,"3-6 months",IF(K159&lt;12,"6-12 months","12+ months")))</f>
        <v/>
      </c>
      <c r="M159" s="23" t="n">
        <v>15000</v>
      </c>
    </row>
    <row r="160">
      <c r="A160" s="10" t="inlineStr">
        <is>
          <t>E3156</t>
        </is>
      </c>
      <c r="B160" s="9" t="inlineStr">
        <is>
          <t>Nkanyiso Govender</t>
        </is>
      </c>
      <c r="C160" s="10" t="inlineStr">
        <is>
          <t>Female</t>
        </is>
      </c>
      <c r="D160" s="9" t="inlineStr">
        <is>
          <t>Admin</t>
        </is>
      </c>
      <c r="E160" s="9" t="inlineStr">
        <is>
          <t>Nedbank Debt Review</t>
        </is>
      </c>
      <c r="F160" s="9" t="inlineStr">
        <is>
          <t>Pretoria</t>
        </is>
      </c>
      <c r="G160" s="24" t="n">
        <v>45895</v>
      </c>
      <c r="H160" s="10" t="inlineStr">
        <is>
          <t>Active</t>
        </is>
      </c>
      <c r="I160" s="10" t="inlineStr"/>
      <c r="J160" s="10" t="n">
        <v>55</v>
      </c>
      <c r="K160" s="25">
        <f>IF(H160="Resigned",(I160-G160),(TODAY()-G160))/30.437</f>
        <v/>
      </c>
      <c r="L160" s="9">
        <f>IF(K160&lt;3,"0-3 months",IF(K160&lt;6,"3-6 months",IF(K160&lt;12,"6-12 months","12+ months")))</f>
        <v/>
      </c>
      <c r="M160" s="26" t="n">
        <v>16500</v>
      </c>
    </row>
    <row r="161">
      <c r="A161" s="13" t="inlineStr">
        <is>
          <t>E3157</t>
        </is>
      </c>
      <c r="B161" s="12" t="inlineStr">
        <is>
          <t>Tshepo Khumalo</t>
        </is>
      </c>
      <c r="C161" s="13" t="inlineStr">
        <is>
          <t>Female</t>
        </is>
      </c>
      <c r="D161" s="12" t="inlineStr">
        <is>
          <t>Team Leaders</t>
        </is>
      </c>
      <c r="E161" s="12" t="inlineStr">
        <is>
          <t>Nedbank Debt Review</t>
        </is>
      </c>
      <c r="F161" s="12" t="inlineStr">
        <is>
          <t>Pretoria</t>
        </is>
      </c>
      <c r="G161" s="21" t="n">
        <v>45637</v>
      </c>
      <c r="H161" s="13" t="inlineStr">
        <is>
          <t>Active</t>
        </is>
      </c>
      <c r="I161" s="13" t="inlineStr"/>
      <c r="J161" s="13" t="n">
        <v>23</v>
      </c>
      <c r="K161" s="22">
        <f>IF(H161="Resigned",(I161-G161),(TODAY()-G161))/30.437</f>
        <v/>
      </c>
      <c r="L161" s="12">
        <f>IF(K161&lt;3,"0-3 months",IF(K161&lt;6,"3-6 months",IF(K161&lt;12,"6-12 months","12+ months")))</f>
        <v/>
      </c>
      <c r="M161" s="23" t="n">
        <v>18500</v>
      </c>
    </row>
    <row r="162">
      <c r="A162" s="10" t="inlineStr">
        <is>
          <t>E3158</t>
        </is>
      </c>
      <c r="B162" s="9" t="inlineStr">
        <is>
          <t>Themba Meyer</t>
        </is>
      </c>
      <c r="C162" s="10" t="inlineStr">
        <is>
          <t>Female</t>
        </is>
      </c>
      <c r="D162" s="9" t="inlineStr">
        <is>
          <t>Sales</t>
        </is>
      </c>
      <c r="E162" s="9" t="inlineStr">
        <is>
          <t>OUTsurance Sales</t>
        </is>
      </c>
      <c r="F162" s="9" t="inlineStr">
        <is>
          <t>Johannesburg</t>
        </is>
      </c>
      <c r="G162" s="24" t="n">
        <v>45127</v>
      </c>
      <c r="H162" s="10" t="inlineStr">
        <is>
          <t>Active</t>
        </is>
      </c>
      <c r="I162" s="10" t="inlineStr"/>
      <c r="J162" s="10" t="n">
        <v>23</v>
      </c>
      <c r="K162" s="25">
        <f>IF(H162="Resigned",(I162-G162),(TODAY()-G162))/30.437</f>
        <v/>
      </c>
      <c r="L162" s="9">
        <f>IF(K162&lt;3,"0-3 months",IF(K162&lt;6,"3-6 months",IF(K162&lt;12,"6-12 months","12+ months")))</f>
        <v/>
      </c>
      <c r="M162" s="26" t="n">
        <v>33000</v>
      </c>
    </row>
    <row r="163">
      <c r="A163" s="13" t="inlineStr">
        <is>
          <t>E3159</t>
        </is>
      </c>
      <c r="B163" s="12" t="inlineStr">
        <is>
          <t>Portia Mthembu</t>
        </is>
      </c>
      <c r="C163" s="13" t="inlineStr">
        <is>
          <t>Female</t>
        </is>
      </c>
      <c r="D163" s="12" t="inlineStr">
        <is>
          <t>Quality</t>
        </is>
      </c>
      <c r="E163" s="12" t="inlineStr">
        <is>
          <t>Vodacom Upgrades</t>
        </is>
      </c>
      <c r="F163" s="12" t="inlineStr">
        <is>
          <t>Cape Town</t>
        </is>
      </c>
      <c r="G163" s="21" t="n">
        <v>45538</v>
      </c>
      <c r="H163" s="13" t="inlineStr">
        <is>
          <t>Active</t>
        </is>
      </c>
      <c r="I163" s="13" t="inlineStr"/>
      <c r="J163" s="13" t="n">
        <v>50</v>
      </c>
      <c r="K163" s="22">
        <f>IF(H163="Resigned",(I163-G163),(TODAY()-G163))/30.437</f>
        <v/>
      </c>
      <c r="L163" s="12">
        <f>IF(K163&lt;3,"0-3 months",IF(K163&lt;6,"3-6 months",IF(K163&lt;12,"6-12 months","12+ months")))</f>
        <v/>
      </c>
      <c r="M163" s="23" t="n">
        <v>33000</v>
      </c>
    </row>
    <row r="164">
      <c r="A164" s="10" t="inlineStr">
        <is>
          <t>E3160</t>
        </is>
      </c>
      <c r="B164" s="9" t="inlineStr">
        <is>
          <t>Tumelo Naidoo</t>
        </is>
      </c>
      <c r="C164" s="10" t="inlineStr">
        <is>
          <t>Male</t>
        </is>
      </c>
      <c r="D164" s="9" t="inlineStr">
        <is>
          <t>Quality</t>
        </is>
      </c>
      <c r="E164" s="9" t="inlineStr">
        <is>
          <t>Shoprite Surveys</t>
        </is>
      </c>
      <c r="F164" s="9" t="inlineStr">
        <is>
          <t>Durban</t>
        </is>
      </c>
      <c r="G164" s="24" t="n">
        <v>45470</v>
      </c>
      <c r="H164" s="10" t="inlineStr">
        <is>
          <t>Active</t>
        </is>
      </c>
      <c r="I164" s="10" t="inlineStr"/>
      <c r="J164" s="10" t="n">
        <v>40</v>
      </c>
      <c r="K164" s="25">
        <f>IF(H164="Resigned",(I164-G164),(TODAY()-G164))/30.437</f>
        <v/>
      </c>
      <c r="L164" s="9">
        <f>IF(K164&lt;3,"0-3 months",IF(K164&lt;6,"3-6 months",IF(K164&lt;12,"6-12 months","12+ months")))</f>
        <v/>
      </c>
      <c r="M164" s="26" t="n">
        <v>33000</v>
      </c>
    </row>
    <row r="165">
      <c r="A165" s="13" t="inlineStr">
        <is>
          <t>E3161</t>
        </is>
      </c>
      <c r="B165" s="12" t="inlineStr">
        <is>
          <t>Mpho Petersen</t>
        </is>
      </c>
      <c r="C165" s="13" t="inlineStr">
        <is>
          <t>Male</t>
        </is>
      </c>
      <c r="D165" s="12" t="inlineStr">
        <is>
          <t>Training</t>
        </is>
      </c>
      <c r="E165" s="12" t="inlineStr">
        <is>
          <t>Takealot Care</t>
        </is>
      </c>
      <c r="F165" s="12" t="inlineStr">
        <is>
          <t>Port Elizabeth</t>
        </is>
      </c>
      <c r="G165" s="21" t="n">
        <v>45842</v>
      </c>
      <c r="H165" s="13" t="inlineStr">
        <is>
          <t>Active</t>
        </is>
      </c>
      <c r="I165" s="13" t="inlineStr"/>
      <c r="J165" s="13" t="n">
        <v>27</v>
      </c>
      <c r="K165" s="22">
        <f>IF(H165="Resigned",(I165-G165),(TODAY()-G165))/30.437</f>
        <v/>
      </c>
      <c r="L165" s="12">
        <f>IF(K165&lt;3,"0-3 months",IF(K165&lt;6,"3-6 months",IF(K165&lt;12,"6-12 months","12+ months")))</f>
        <v/>
      </c>
      <c r="M165" s="23" t="n">
        <v>33000</v>
      </c>
    </row>
    <row r="166">
      <c r="A166" s="10" t="inlineStr">
        <is>
          <t>E3162</t>
        </is>
      </c>
      <c r="B166" s="9" t="inlineStr">
        <is>
          <t>Tebogo Govender</t>
        </is>
      </c>
      <c r="C166" s="10" t="inlineStr">
        <is>
          <t>Female</t>
        </is>
      </c>
      <c r="D166" s="9" t="inlineStr">
        <is>
          <t>IT Support</t>
        </is>
      </c>
      <c r="E166" s="9" t="inlineStr">
        <is>
          <t>Standard Bank Helpdesk</t>
        </is>
      </c>
      <c r="F166" s="9" t="inlineStr">
        <is>
          <t>Cape Town</t>
        </is>
      </c>
      <c r="G166" s="24" t="n">
        <v>45889</v>
      </c>
      <c r="H166" s="10" t="inlineStr">
        <is>
          <t>Resigned</t>
        </is>
      </c>
      <c r="I166" s="24" t="n">
        <v>45993</v>
      </c>
      <c r="J166" s="10" t="n">
        <v>27</v>
      </c>
      <c r="K166" s="25">
        <f>IF(H166="Resigned",(I166-G166),(TODAY()-G166))/30.437</f>
        <v/>
      </c>
      <c r="L166" s="9">
        <f>IF(K166&lt;3,"0-3 months",IF(K166&lt;6,"3-6 months",IF(K166&lt;12,"6-12 months","12+ months")))</f>
        <v/>
      </c>
      <c r="M166" s="26" t="n">
        <v>33000</v>
      </c>
    </row>
    <row r="167">
      <c r="A167" s="13" t="inlineStr">
        <is>
          <t>E3163</t>
        </is>
      </c>
      <c r="B167" s="12" t="inlineStr">
        <is>
          <t>Lesego Adams</t>
        </is>
      </c>
      <c r="C167" s="13" t="inlineStr">
        <is>
          <t>Female</t>
        </is>
      </c>
      <c r="D167" s="12" t="inlineStr">
        <is>
          <t>Customer Care</t>
        </is>
      </c>
      <c r="E167" s="12" t="inlineStr">
        <is>
          <t>ABSA Collections</t>
        </is>
      </c>
      <c r="F167" s="12" t="inlineStr">
        <is>
          <t>Durban</t>
        </is>
      </c>
      <c r="G167" s="21" t="n">
        <v>45240</v>
      </c>
      <c r="H167" s="13" t="inlineStr">
        <is>
          <t>Active</t>
        </is>
      </c>
      <c r="I167" s="13" t="inlineStr"/>
      <c r="J167" s="13" t="n">
        <v>26</v>
      </c>
      <c r="K167" s="22">
        <f>IF(H167="Resigned",(I167-G167),(TODAY()-G167))/30.437</f>
        <v/>
      </c>
      <c r="L167" s="12">
        <f>IF(K167&lt;3,"0-3 months",IF(K167&lt;6,"3-6 months",IF(K167&lt;12,"6-12 months","12+ months")))</f>
        <v/>
      </c>
      <c r="M167" s="23" t="n">
        <v>18500</v>
      </c>
    </row>
    <row r="168">
      <c r="A168" s="10" t="inlineStr">
        <is>
          <t>E3164</t>
        </is>
      </c>
      <c r="B168" s="9" t="inlineStr">
        <is>
          <t>Nosipho Petersen</t>
        </is>
      </c>
      <c r="C168" s="10" t="inlineStr">
        <is>
          <t>Male</t>
        </is>
      </c>
      <c r="D168" s="9" t="inlineStr">
        <is>
          <t>Team Leaders</t>
        </is>
      </c>
      <c r="E168" s="9" t="inlineStr">
        <is>
          <t>Cell C Winback</t>
        </is>
      </c>
      <c r="F168" s="9" t="inlineStr">
        <is>
          <t>Pretoria</t>
        </is>
      </c>
      <c r="G168" s="24" t="n">
        <v>45948</v>
      </c>
      <c r="H168" s="10" t="inlineStr">
        <is>
          <t>Active</t>
        </is>
      </c>
      <c r="I168" s="10" t="inlineStr"/>
      <c r="J168" s="10" t="n">
        <v>46</v>
      </c>
      <c r="K168" s="25">
        <f>IF(H168="Resigned",(I168-G168),(TODAY()-G168))/30.437</f>
        <v/>
      </c>
      <c r="L168" s="9">
        <f>IF(K168&lt;3,"0-3 months",IF(K168&lt;6,"3-6 months",IF(K168&lt;12,"6-12 months","12+ months")))</f>
        <v/>
      </c>
      <c r="M168" s="26" t="n">
        <v>18500</v>
      </c>
    </row>
    <row r="169">
      <c r="A169" s="13" t="inlineStr">
        <is>
          <t>E3165</t>
        </is>
      </c>
      <c r="B169" s="12" t="inlineStr">
        <is>
          <t>Themba Van Wyk</t>
        </is>
      </c>
      <c r="C169" s="13" t="inlineStr">
        <is>
          <t>Female</t>
        </is>
      </c>
      <c r="D169" s="12" t="inlineStr">
        <is>
          <t>Training</t>
        </is>
      </c>
      <c r="E169" s="12" t="inlineStr">
        <is>
          <t>MTN Retentions</t>
        </is>
      </c>
      <c r="F169" s="12" t="inlineStr">
        <is>
          <t>Port Elizabeth</t>
        </is>
      </c>
      <c r="G169" s="21" t="n">
        <v>45435</v>
      </c>
      <c r="H169" s="13" t="inlineStr">
        <is>
          <t>Active</t>
        </is>
      </c>
      <c r="I169" s="13" t="inlineStr"/>
      <c r="J169" s="13" t="n">
        <v>39</v>
      </c>
      <c r="K169" s="22">
        <f>IF(H169="Resigned",(I169-G169),(TODAY()-G169))/30.437</f>
        <v/>
      </c>
      <c r="L169" s="12">
        <f>IF(K169&lt;3,"0-3 months",IF(K169&lt;6,"3-6 months",IF(K169&lt;12,"6-12 months","12+ months")))</f>
        <v/>
      </c>
      <c r="M169" s="23" t="n">
        <v>15000</v>
      </c>
    </row>
    <row r="170">
      <c r="A170" s="10" t="inlineStr">
        <is>
          <t>E3166</t>
        </is>
      </c>
      <c r="B170" s="9" t="inlineStr">
        <is>
          <t>Gift Jacobs</t>
        </is>
      </c>
      <c r="C170" s="10" t="inlineStr">
        <is>
          <t>Female</t>
        </is>
      </c>
      <c r="D170" s="9" t="inlineStr">
        <is>
          <t>IT Support</t>
        </is>
      </c>
      <c r="E170" s="9" t="inlineStr">
        <is>
          <t>OUTsurance Sales</t>
        </is>
      </c>
      <c r="F170" s="9" t="inlineStr">
        <is>
          <t>Port Elizabeth</t>
        </is>
      </c>
      <c r="G170" s="24" t="n">
        <v>45327</v>
      </c>
      <c r="H170" s="10" t="inlineStr">
        <is>
          <t>Active</t>
        </is>
      </c>
      <c r="I170" s="10" t="inlineStr"/>
      <c r="J170" s="10" t="n">
        <v>32</v>
      </c>
      <c r="K170" s="25">
        <f>IF(H170="Resigned",(I170-G170),(TODAY()-G170))/30.437</f>
        <v/>
      </c>
      <c r="L170" s="9">
        <f>IF(K170&lt;3,"0-3 months",IF(K170&lt;6,"3-6 months",IF(K170&lt;12,"6-12 months","12+ months")))</f>
        <v/>
      </c>
      <c r="M170" s="26" t="n">
        <v>15000</v>
      </c>
    </row>
    <row r="171">
      <c r="A171" s="13" t="inlineStr">
        <is>
          <t>E3167</t>
        </is>
      </c>
      <c r="B171" s="12" t="inlineStr">
        <is>
          <t>Portia Tshabalala</t>
        </is>
      </c>
      <c r="C171" s="13" t="inlineStr">
        <is>
          <t>Female</t>
        </is>
      </c>
      <c r="D171" s="12" t="inlineStr">
        <is>
          <t>Operations</t>
        </is>
      </c>
      <c r="E171" s="12" t="inlineStr">
        <is>
          <t>Nedbank Debt Review</t>
        </is>
      </c>
      <c r="F171" s="12" t="inlineStr">
        <is>
          <t>Durban</t>
        </is>
      </c>
      <c r="G171" s="21" t="n">
        <v>45974</v>
      </c>
      <c r="H171" s="13" t="inlineStr">
        <is>
          <t>Active</t>
        </is>
      </c>
      <c r="I171" s="13" t="inlineStr"/>
      <c r="J171" s="13" t="n">
        <v>44</v>
      </c>
      <c r="K171" s="22">
        <f>IF(H171="Resigned",(I171-G171),(TODAY()-G171))/30.437</f>
        <v/>
      </c>
      <c r="L171" s="12">
        <f>IF(K171&lt;3,"0-3 months",IF(K171&lt;6,"3-6 months",IF(K171&lt;12,"6-12 months","12+ months")))</f>
        <v/>
      </c>
      <c r="M171" s="23" t="n">
        <v>24000</v>
      </c>
    </row>
    <row r="172">
      <c r="A172" s="10" t="inlineStr">
        <is>
          <t>E3168</t>
        </is>
      </c>
      <c r="B172" s="9" t="inlineStr">
        <is>
          <t>Tshepo Ndlovu</t>
        </is>
      </c>
      <c r="C172" s="10" t="inlineStr">
        <is>
          <t>Male</t>
        </is>
      </c>
      <c r="D172" s="9" t="inlineStr">
        <is>
          <t>Customer Care</t>
        </is>
      </c>
      <c r="E172" s="9" t="inlineStr">
        <is>
          <t>MTN Retentions</t>
        </is>
      </c>
      <c r="F172" s="9" t="inlineStr">
        <is>
          <t>Port Elizabeth</t>
        </is>
      </c>
      <c r="G172" s="24" t="n">
        <v>45192</v>
      </c>
      <c r="H172" s="10" t="inlineStr">
        <is>
          <t>Active</t>
        </is>
      </c>
      <c r="I172" s="10" t="inlineStr"/>
      <c r="J172" s="10" t="n">
        <v>22</v>
      </c>
      <c r="K172" s="25">
        <f>IF(H172="Resigned",(I172-G172),(TODAY()-G172))/30.437</f>
        <v/>
      </c>
      <c r="L172" s="9">
        <f>IF(K172&lt;3,"0-3 months",IF(K172&lt;6,"3-6 months",IF(K172&lt;12,"6-12 months","12+ months")))</f>
        <v/>
      </c>
      <c r="M172" s="26" t="n">
        <v>15000</v>
      </c>
    </row>
    <row r="173">
      <c r="A173" s="13" t="inlineStr">
        <is>
          <t>E3169</t>
        </is>
      </c>
      <c r="B173" s="12" t="inlineStr">
        <is>
          <t>Ayanda Mabaso</t>
        </is>
      </c>
      <c r="C173" s="13" t="inlineStr">
        <is>
          <t>Female</t>
        </is>
      </c>
      <c r="D173" s="12" t="inlineStr">
        <is>
          <t>Training</t>
        </is>
      </c>
      <c r="E173" s="12" t="inlineStr">
        <is>
          <t>Standard Bank Helpdesk</t>
        </is>
      </c>
      <c r="F173" s="12" t="inlineStr">
        <is>
          <t>Durban</t>
        </is>
      </c>
      <c r="G173" s="21" t="n">
        <v>45538</v>
      </c>
      <c r="H173" s="13" t="inlineStr">
        <is>
          <t>Active</t>
        </is>
      </c>
      <c r="I173" s="13" t="inlineStr"/>
      <c r="J173" s="13" t="n">
        <v>39</v>
      </c>
      <c r="K173" s="22">
        <f>IF(H173="Resigned",(I173-G173),(TODAY()-G173))/30.437</f>
        <v/>
      </c>
      <c r="L173" s="12">
        <f>IF(K173&lt;3,"0-3 months",IF(K173&lt;6,"3-6 months",IF(K173&lt;12,"6-12 months","12+ months")))</f>
        <v/>
      </c>
      <c r="M173" s="23" t="n">
        <v>33000</v>
      </c>
    </row>
    <row r="174">
      <c r="A174" s="10" t="inlineStr">
        <is>
          <t>E3170</t>
        </is>
      </c>
      <c r="B174" s="9" t="inlineStr">
        <is>
          <t>Onalenna Nel</t>
        </is>
      </c>
      <c r="C174" s="10" t="inlineStr">
        <is>
          <t>Male</t>
        </is>
      </c>
      <c r="D174" s="9" t="inlineStr">
        <is>
          <t>IT Support</t>
        </is>
      </c>
      <c r="E174" s="9" t="inlineStr">
        <is>
          <t>OUTsurance Sales</t>
        </is>
      </c>
      <c r="F174" s="9" t="inlineStr">
        <is>
          <t>Cape Town</t>
        </is>
      </c>
      <c r="G174" s="24" t="n">
        <v>45712</v>
      </c>
      <c r="H174" s="10" t="inlineStr">
        <is>
          <t>Active</t>
        </is>
      </c>
      <c r="I174" s="10" t="inlineStr"/>
      <c r="J174" s="10" t="n">
        <v>55</v>
      </c>
      <c r="K174" s="25">
        <f>IF(H174="Resigned",(I174-G174),(TODAY()-G174))/30.437</f>
        <v/>
      </c>
      <c r="L174" s="9">
        <f>IF(K174&lt;3,"0-3 months",IF(K174&lt;6,"3-6 months",IF(K174&lt;12,"6-12 months","12+ months")))</f>
        <v/>
      </c>
      <c r="M174" s="26" t="n">
        <v>28000</v>
      </c>
    </row>
    <row r="175">
      <c r="A175" s="13" t="inlineStr">
        <is>
          <t>E3171</t>
        </is>
      </c>
      <c r="B175" s="12" t="inlineStr">
        <is>
          <t>Thabo Sibiya</t>
        </is>
      </c>
      <c r="C175" s="13" t="inlineStr">
        <is>
          <t>Male</t>
        </is>
      </c>
      <c r="D175" s="12" t="inlineStr">
        <is>
          <t>IT Support</t>
        </is>
      </c>
      <c r="E175" s="12" t="inlineStr">
        <is>
          <t>Nedbank Debt Review</t>
        </is>
      </c>
      <c r="F175" s="12" t="inlineStr">
        <is>
          <t>Pretoria</t>
        </is>
      </c>
      <c r="G175" s="21" t="n">
        <v>45602</v>
      </c>
      <c r="H175" s="13" t="inlineStr">
        <is>
          <t>Active</t>
        </is>
      </c>
      <c r="I175" s="13" t="inlineStr"/>
      <c r="J175" s="13" t="n">
        <v>43</v>
      </c>
      <c r="K175" s="22">
        <f>IF(H175="Resigned",(I175-G175),(TODAY()-G175))/30.437</f>
        <v/>
      </c>
      <c r="L175" s="12">
        <f>IF(K175&lt;3,"0-3 months",IF(K175&lt;6,"3-6 months",IF(K175&lt;12,"6-12 months","12+ months")))</f>
        <v/>
      </c>
      <c r="M175" s="23" t="n">
        <v>24000</v>
      </c>
    </row>
    <row r="176">
      <c r="A176" s="10" t="inlineStr">
        <is>
          <t>E3172</t>
        </is>
      </c>
      <c r="B176" s="9" t="inlineStr">
        <is>
          <t>Nomvula Mabaso</t>
        </is>
      </c>
      <c r="C176" s="10" t="inlineStr">
        <is>
          <t>Male</t>
        </is>
      </c>
      <c r="D176" s="9" t="inlineStr">
        <is>
          <t>Operations</t>
        </is>
      </c>
      <c r="E176" s="9" t="inlineStr">
        <is>
          <t>DStv Upsell</t>
        </is>
      </c>
      <c r="F176" s="9" t="inlineStr">
        <is>
          <t>Port Elizabeth</t>
        </is>
      </c>
      <c r="G176" s="24" t="n">
        <v>45864</v>
      </c>
      <c r="H176" s="10" t="inlineStr">
        <is>
          <t>Active</t>
        </is>
      </c>
      <c r="I176" s="10" t="inlineStr"/>
      <c r="J176" s="10" t="n">
        <v>45</v>
      </c>
      <c r="K176" s="25">
        <f>IF(H176="Resigned",(I176-G176),(TODAY()-G176))/30.437</f>
        <v/>
      </c>
      <c r="L176" s="9">
        <f>IF(K176&lt;3,"0-3 months",IF(K176&lt;6,"3-6 months",IF(K176&lt;12,"6-12 months","12+ months")))</f>
        <v/>
      </c>
      <c r="M176" s="26" t="n">
        <v>33000</v>
      </c>
    </row>
    <row r="177">
      <c r="A177" s="13" t="inlineStr">
        <is>
          <t>E3173</t>
        </is>
      </c>
      <c r="B177" s="12" t="inlineStr">
        <is>
          <t>Portia Radebe</t>
        </is>
      </c>
      <c r="C177" s="13" t="inlineStr">
        <is>
          <t>Female</t>
        </is>
      </c>
      <c r="D177" s="12" t="inlineStr">
        <is>
          <t>Customer Care</t>
        </is>
      </c>
      <c r="E177" s="12" t="inlineStr">
        <is>
          <t>OUTsurance Sales</t>
        </is>
      </c>
      <c r="F177" s="12" t="inlineStr">
        <is>
          <t>Johannesburg</t>
        </is>
      </c>
      <c r="G177" s="21" t="n">
        <v>45782</v>
      </c>
      <c r="H177" s="13" t="inlineStr">
        <is>
          <t>Active</t>
        </is>
      </c>
      <c r="I177" s="13" t="inlineStr"/>
      <c r="J177" s="13" t="n">
        <v>48</v>
      </c>
      <c r="K177" s="22">
        <f>IF(H177="Resigned",(I177-G177),(TODAY()-G177))/30.437</f>
        <v/>
      </c>
      <c r="L177" s="12">
        <f>IF(K177&lt;3,"0-3 months",IF(K177&lt;6,"3-6 months",IF(K177&lt;12,"6-12 months","12+ months")))</f>
        <v/>
      </c>
      <c r="M177" s="23" t="n">
        <v>28000</v>
      </c>
    </row>
    <row r="178">
      <c r="A178" s="10" t="inlineStr">
        <is>
          <t>E3174</t>
        </is>
      </c>
      <c r="B178" s="9" t="inlineStr">
        <is>
          <t>Mandla Mokoena</t>
        </is>
      </c>
      <c r="C178" s="10" t="inlineStr">
        <is>
          <t>Female</t>
        </is>
      </c>
      <c r="D178" s="9" t="inlineStr">
        <is>
          <t>IT Support</t>
        </is>
      </c>
      <c r="E178" s="9" t="inlineStr">
        <is>
          <t>Telkom Tech Support</t>
        </is>
      </c>
      <c r="F178" s="9" t="inlineStr">
        <is>
          <t>Pretoria</t>
        </is>
      </c>
      <c r="G178" s="24" t="n">
        <v>45976</v>
      </c>
      <c r="H178" s="10" t="inlineStr">
        <is>
          <t>Active</t>
        </is>
      </c>
      <c r="I178" s="10" t="inlineStr"/>
      <c r="J178" s="10" t="n">
        <v>41</v>
      </c>
      <c r="K178" s="25">
        <f>IF(H178="Resigned",(I178-G178),(TODAY()-G178))/30.437</f>
        <v/>
      </c>
      <c r="L178" s="9">
        <f>IF(K178&lt;3,"0-3 months",IF(K178&lt;6,"3-6 months",IF(K178&lt;12,"6-12 months","12+ months")))</f>
        <v/>
      </c>
      <c r="M178" s="26" t="n">
        <v>24000</v>
      </c>
    </row>
    <row r="179">
      <c r="A179" s="13" t="inlineStr">
        <is>
          <t>E3175</t>
        </is>
      </c>
      <c r="B179" s="12" t="inlineStr">
        <is>
          <t>Bandile Mahlangu</t>
        </is>
      </c>
      <c r="C179" s="13" t="inlineStr">
        <is>
          <t>Female</t>
        </is>
      </c>
      <c r="D179" s="12" t="inlineStr">
        <is>
          <t>IT Support</t>
        </is>
      </c>
      <c r="E179" s="12" t="inlineStr">
        <is>
          <t>Telkom Tech Support</t>
        </is>
      </c>
      <c r="F179" s="12" t="inlineStr">
        <is>
          <t>Durban</t>
        </is>
      </c>
      <c r="G179" s="21" t="n">
        <v>45081</v>
      </c>
      <c r="H179" s="13" t="inlineStr">
        <is>
          <t>Active</t>
        </is>
      </c>
      <c r="I179" s="13" t="inlineStr"/>
      <c r="J179" s="13" t="n">
        <v>55</v>
      </c>
      <c r="K179" s="22">
        <f>IF(H179="Resigned",(I179-G179),(TODAY()-G179))/30.437</f>
        <v/>
      </c>
      <c r="L179" s="12">
        <f>IF(K179&lt;3,"0-3 months",IF(K179&lt;6,"3-6 months",IF(K179&lt;12,"6-12 months","12+ months")))</f>
        <v/>
      </c>
      <c r="M179" s="23" t="n">
        <v>21000</v>
      </c>
    </row>
    <row r="180">
      <c r="A180" s="10" t="inlineStr">
        <is>
          <t>E3176</t>
        </is>
      </c>
      <c r="B180" s="9" t="inlineStr">
        <is>
          <t>Tumelo Adams</t>
        </is>
      </c>
      <c r="C180" s="10" t="inlineStr">
        <is>
          <t>Female</t>
        </is>
      </c>
      <c r="D180" s="9" t="inlineStr">
        <is>
          <t>Quality</t>
        </is>
      </c>
      <c r="E180" s="9" t="inlineStr">
        <is>
          <t>OUTsurance Sales</t>
        </is>
      </c>
      <c r="F180" s="9" t="inlineStr">
        <is>
          <t>Johannesburg</t>
        </is>
      </c>
      <c r="G180" s="24" t="n">
        <v>45480</v>
      </c>
      <c r="H180" s="10" t="inlineStr">
        <is>
          <t>Active</t>
        </is>
      </c>
      <c r="I180" s="10" t="inlineStr"/>
      <c r="J180" s="10" t="n">
        <v>55</v>
      </c>
      <c r="K180" s="25">
        <f>IF(H180="Resigned",(I180-G180),(TODAY()-G180))/30.437</f>
        <v/>
      </c>
      <c r="L180" s="9">
        <f>IF(K180&lt;3,"0-3 months",IF(K180&lt;6,"3-6 months",IF(K180&lt;12,"6-12 months","12+ months")))</f>
        <v/>
      </c>
      <c r="M180" s="26" t="n">
        <v>16500</v>
      </c>
    </row>
    <row r="181">
      <c r="A181" s="13" t="inlineStr">
        <is>
          <t>E3177</t>
        </is>
      </c>
      <c r="B181" s="12" t="inlineStr">
        <is>
          <t>Lwazi Adams</t>
        </is>
      </c>
      <c r="C181" s="13" t="inlineStr">
        <is>
          <t>Male</t>
        </is>
      </c>
      <c r="D181" s="12" t="inlineStr">
        <is>
          <t>Sales</t>
        </is>
      </c>
      <c r="E181" s="12" t="inlineStr">
        <is>
          <t>ABSA Collections</t>
        </is>
      </c>
      <c r="F181" s="12" t="inlineStr">
        <is>
          <t>Johannesburg</t>
        </is>
      </c>
      <c r="G181" s="21" t="n">
        <v>45991</v>
      </c>
      <c r="H181" s="13" t="inlineStr">
        <is>
          <t>Active</t>
        </is>
      </c>
      <c r="I181" s="13" t="inlineStr"/>
      <c r="J181" s="13" t="n">
        <v>55</v>
      </c>
      <c r="K181" s="22">
        <f>IF(H181="Resigned",(I181-G181),(TODAY()-G181))/30.437</f>
        <v/>
      </c>
      <c r="L181" s="12">
        <f>IF(K181&lt;3,"0-3 months",IF(K181&lt;6,"3-6 months",IF(K181&lt;12,"6-12 months","12+ months")))</f>
        <v/>
      </c>
      <c r="M181" s="23" t="n">
        <v>13500</v>
      </c>
    </row>
    <row r="182">
      <c r="A182" s="10" t="inlineStr">
        <is>
          <t>E3178</t>
        </is>
      </c>
      <c r="B182" s="9" t="inlineStr">
        <is>
          <t>Onalenna Nkosi</t>
        </is>
      </c>
      <c r="C182" s="10" t="inlineStr">
        <is>
          <t>Male</t>
        </is>
      </c>
      <c r="D182" s="9" t="inlineStr">
        <is>
          <t>Customer Care</t>
        </is>
      </c>
      <c r="E182" s="9" t="inlineStr">
        <is>
          <t>ABSA Collections</t>
        </is>
      </c>
      <c r="F182" s="9" t="inlineStr">
        <is>
          <t>Cape Town</t>
        </is>
      </c>
      <c r="G182" s="24" t="n">
        <v>45143</v>
      </c>
      <c r="H182" s="10" t="inlineStr">
        <is>
          <t>Resigned</t>
        </is>
      </c>
      <c r="I182" s="24" t="n">
        <v>46110</v>
      </c>
      <c r="J182" s="10" t="n">
        <v>29</v>
      </c>
      <c r="K182" s="25">
        <f>IF(H182="Resigned",(I182-G182),(TODAY()-G182))/30.437</f>
        <v/>
      </c>
      <c r="L182" s="9">
        <f>IF(K182&lt;3,"0-3 months",IF(K182&lt;6,"3-6 months",IF(K182&lt;12,"6-12 months","12+ months")))</f>
        <v/>
      </c>
      <c r="M182" s="26" t="n">
        <v>33000</v>
      </c>
    </row>
    <row r="183">
      <c r="A183" s="13" t="inlineStr">
        <is>
          <t>E3179</t>
        </is>
      </c>
      <c r="B183" s="12" t="inlineStr">
        <is>
          <t>Zanele Sithole</t>
        </is>
      </c>
      <c r="C183" s="13" t="inlineStr">
        <is>
          <t>Female</t>
        </is>
      </c>
      <c r="D183" s="12" t="inlineStr">
        <is>
          <t>IT Support</t>
        </is>
      </c>
      <c r="E183" s="12" t="inlineStr">
        <is>
          <t>Standard Bank Helpdesk</t>
        </is>
      </c>
      <c r="F183" s="12" t="inlineStr">
        <is>
          <t>Pretoria</t>
        </is>
      </c>
      <c r="G183" s="21" t="n">
        <v>45512</v>
      </c>
      <c r="H183" s="13" t="inlineStr">
        <is>
          <t>Active</t>
        </is>
      </c>
      <c r="I183" s="13" t="inlineStr"/>
      <c r="J183" s="13" t="n">
        <v>47</v>
      </c>
      <c r="K183" s="22">
        <f>IF(H183="Resigned",(I183-G183),(TODAY()-G183))/30.437</f>
        <v/>
      </c>
      <c r="L183" s="12">
        <f>IF(K183&lt;3,"0-3 months",IF(K183&lt;6,"3-6 months",IF(K183&lt;12,"6-12 months","12+ months")))</f>
        <v/>
      </c>
      <c r="M183" s="23" t="n">
        <v>24000</v>
      </c>
    </row>
    <row r="184">
      <c r="A184" s="10" t="inlineStr">
        <is>
          <t>E3180</t>
        </is>
      </c>
      <c r="B184" s="9" t="inlineStr">
        <is>
          <t>Kagiso Naidoo</t>
        </is>
      </c>
      <c r="C184" s="10" t="inlineStr">
        <is>
          <t>Male</t>
        </is>
      </c>
      <c r="D184" s="9" t="inlineStr">
        <is>
          <t>Quality</t>
        </is>
      </c>
      <c r="E184" s="9" t="inlineStr">
        <is>
          <t>Takealot Care</t>
        </is>
      </c>
      <c r="F184" s="9" t="inlineStr">
        <is>
          <t>Cape Town</t>
        </is>
      </c>
      <c r="G184" s="24" t="n">
        <v>45894</v>
      </c>
      <c r="H184" s="10" t="inlineStr">
        <is>
          <t>Active</t>
        </is>
      </c>
      <c r="I184" s="10" t="inlineStr"/>
      <c r="J184" s="10" t="n">
        <v>34</v>
      </c>
      <c r="K184" s="25">
        <f>IF(H184="Resigned",(I184-G184),(TODAY()-G184))/30.437</f>
        <v/>
      </c>
      <c r="L184" s="9">
        <f>IF(K184&lt;3,"0-3 months",IF(K184&lt;6,"3-6 months",IF(K184&lt;12,"6-12 months","12+ months")))</f>
        <v/>
      </c>
      <c r="M184" s="26" t="n">
        <v>18500</v>
      </c>
    </row>
    <row r="185">
      <c r="A185" s="13" t="inlineStr">
        <is>
          <t>E3181</t>
        </is>
      </c>
      <c r="B185" s="12" t="inlineStr">
        <is>
          <t>Refilwe Botha</t>
        </is>
      </c>
      <c r="C185" s="13" t="inlineStr">
        <is>
          <t>Male</t>
        </is>
      </c>
      <c r="D185" s="12" t="inlineStr">
        <is>
          <t>Training</t>
        </is>
      </c>
      <c r="E185" s="12" t="inlineStr">
        <is>
          <t>Takealot Care</t>
        </is>
      </c>
      <c r="F185" s="12" t="inlineStr">
        <is>
          <t>Port Elizabeth</t>
        </is>
      </c>
      <c r="G185" s="21" t="n">
        <v>45469</v>
      </c>
      <c r="H185" s="13" t="inlineStr">
        <is>
          <t>Active</t>
        </is>
      </c>
      <c r="I185" s="13" t="inlineStr"/>
      <c r="J185" s="13" t="n">
        <v>43</v>
      </c>
      <c r="K185" s="22">
        <f>IF(H185="Resigned",(I185-G185),(TODAY()-G185))/30.437</f>
        <v/>
      </c>
      <c r="L185" s="12">
        <f>IF(K185&lt;3,"0-3 months",IF(K185&lt;6,"3-6 months",IF(K185&lt;12,"6-12 months","12+ months")))</f>
        <v/>
      </c>
      <c r="M185" s="23" t="n">
        <v>15000</v>
      </c>
    </row>
    <row r="186">
      <c r="A186" s="10" t="inlineStr">
        <is>
          <t>E3182</t>
        </is>
      </c>
      <c r="B186" s="9" t="inlineStr">
        <is>
          <t>Sipho Zulu</t>
        </is>
      </c>
      <c r="C186" s="10" t="inlineStr">
        <is>
          <t>Female</t>
        </is>
      </c>
      <c r="D186" s="9" t="inlineStr">
        <is>
          <t>Team Leaders</t>
        </is>
      </c>
      <c r="E186" s="9" t="inlineStr">
        <is>
          <t>MTN Retentions</t>
        </is>
      </c>
      <c r="F186" s="9" t="inlineStr">
        <is>
          <t>Port Elizabeth</t>
        </is>
      </c>
      <c r="G186" s="24" t="n">
        <v>46150</v>
      </c>
      <c r="H186" s="10" t="inlineStr">
        <is>
          <t>Active</t>
        </is>
      </c>
      <c r="I186" s="10" t="inlineStr"/>
      <c r="J186" s="10" t="n">
        <v>23</v>
      </c>
      <c r="K186" s="25">
        <f>IF(H186="Resigned",(I186-G186),(TODAY()-G186))/30.437</f>
        <v/>
      </c>
      <c r="L186" s="9">
        <f>IF(K186&lt;3,"0-3 months",IF(K186&lt;6,"3-6 months",IF(K186&lt;12,"6-12 months","12+ months")))</f>
        <v/>
      </c>
      <c r="M186" s="26" t="n">
        <v>28000</v>
      </c>
    </row>
    <row r="187">
      <c r="A187" s="13" t="inlineStr">
        <is>
          <t>E3183</t>
        </is>
      </c>
      <c r="B187" s="12" t="inlineStr">
        <is>
          <t>Themba Petersen</t>
        </is>
      </c>
      <c r="C187" s="13" t="inlineStr">
        <is>
          <t>Female</t>
        </is>
      </c>
      <c r="D187" s="12" t="inlineStr">
        <is>
          <t>Team Leaders</t>
        </is>
      </c>
      <c r="E187" s="12" t="inlineStr">
        <is>
          <t>MTN Retentions</t>
        </is>
      </c>
      <c r="F187" s="12" t="inlineStr">
        <is>
          <t>Port Elizabeth</t>
        </is>
      </c>
      <c r="G187" s="21" t="n">
        <v>46126</v>
      </c>
      <c r="H187" s="13" t="inlineStr">
        <is>
          <t>Active</t>
        </is>
      </c>
      <c r="I187" s="13" t="inlineStr"/>
      <c r="J187" s="13" t="n">
        <v>22</v>
      </c>
      <c r="K187" s="22">
        <f>IF(H187="Resigned",(I187-G187),(TODAY()-G187))/30.437</f>
        <v/>
      </c>
      <c r="L187" s="12">
        <f>IF(K187&lt;3,"0-3 months",IF(K187&lt;6,"3-6 months",IF(K187&lt;12,"6-12 months","12+ months")))</f>
        <v/>
      </c>
      <c r="M187" s="23" t="n">
        <v>24000</v>
      </c>
    </row>
    <row r="188">
      <c r="A188" s="10" t="inlineStr">
        <is>
          <t>E3184</t>
        </is>
      </c>
      <c r="B188" s="9" t="inlineStr">
        <is>
          <t>Sipho Mthembu</t>
        </is>
      </c>
      <c r="C188" s="10" t="inlineStr">
        <is>
          <t>Female</t>
        </is>
      </c>
      <c r="D188" s="9" t="inlineStr">
        <is>
          <t>Training</t>
        </is>
      </c>
      <c r="E188" s="9" t="inlineStr">
        <is>
          <t>Standard Bank Helpdesk</t>
        </is>
      </c>
      <c r="F188" s="9" t="inlineStr">
        <is>
          <t>Johannesburg</t>
        </is>
      </c>
      <c r="G188" s="24" t="n">
        <v>45859</v>
      </c>
      <c r="H188" s="10" t="inlineStr">
        <is>
          <t>Active</t>
        </is>
      </c>
      <c r="I188" s="10" t="inlineStr"/>
      <c r="J188" s="10" t="n">
        <v>44</v>
      </c>
      <c r="K188" s="25">
        <f>IF(H188="Resigned",(I188-G188),(TODAY()-G188))/30.437</f>
        <v/>
      </c>
      <c r="L188" s="9">
        <f>IF(K188&lt;3,"0-3 months",IF(K188&lt;6,"3-6 months",IF(K188&lt;12,"6-12 months","12+ months")))</f>
        <v/>
      </c>
      <c r="M188" s="26" t="n">
        <v>16500</v>
      </c>
    </row>
    <row r="189">
      <c r="A189" s="13" t="inlineStr">
        <is>
          <t>E3185</t>
        </is>
      </c>
      <c r="B189" s="12" t="inlineStr">
        <is>
          <t>Katlego Meyer</t>
        </is>
      </c>
      <c r="C189" s="13" t="inlineStr">
        <is>
          <t>Female</t>
        </is>
      </c>
      <c r="D189" s="12" t="inlineStr">
        <is>
          <t>Sales</t>
        </is>
      </c>
      <c r="E189" s="12" t="inlineStr">
        <is>
          <t>Standard Bank Helpdesk</t>
        </is>
      </c>
      <c r="F189" s="12" t="inlineStr">
        <is>
          <t>Port Elizabeth</t>
        </is>
      </c>
      <c r="G189" s="21" t="n">
        <v>46083</v>
      </c>
      <c r="H189" s="13" t="inlineStr">
        <is>
          <t>Active</t>
        </is>
      </c>
      <c r="I189" s="13" t="inlineStr"/>
      <c r="J189" s="13" t="n">
        <v>38</v>
      </c>
      <c r="K189" s="22">
        <f>IF(H189="Resigned",(I189-G189),(TODAY()-G189))/30.437</f>
        <v/>
      </c>
      <c r="L189" s="12">
        <f>IF(K189&lt;3,"0-3 months",IF(K189&lt;6,"3-6 months",IF(K189&lt;12,"6-12 months","12+ months")))</f>
        <v/>
      </c>
      <c r="M189" s="23" t="n">
        <v>15000</v>
      </c>
    </row>
    <row r="190">
      <c r="A190" s="10" t="inlineStr">
        <is>
          <t>E3186</t>
        </is>
      </c>
      <c r="B190" s="9" t="inlineStr">
        <is>
          <t>Bongani Sibiya</t>
        </is>
      </c>
      <c r="C190" s="10" t="inlineStr">
        <is>
          <t>Male</t>
        </is>
      </c>
      <c r="D190" s="9" t="inlineStr">
        <is>
          <t>Team Leaders</t>
        </is>
      </c>
      <c r="E190" s="9" t="inlineStr">
        <is>
          <t>Discovery Lead Gen</t>
        </is>
      </c>
      <c r="F190" s="9" t="inlineStr">
        <is>
          <t>Cape Town</t>
        </is>
      </c>
      <c r="G190" s="24" t="n">
        <v>45088</v>
      </c>
      <c r="H190" s="10" t="inlineStr">
        <is>
          <t>Active</t>
        </is>
      </c>
      <c r="I190" s="10" t="inlineStr"/>
      <c r="J190" s="10" t="n">
        <v>42</v>
      </c>
      <c r="K190" s="25">
        <f>IF(H190="Resigned",(I190-G190),(TODAY()-G190))/30.437</f>
        <v/>
      </c>
      <c r="L190" s="9">
        <f>IF(K190&lt;3,"0-3 months",IF(K190&lt;6,"3-6 months",IF(K190&lt;12,"6-12 months","12+ months")))</f>
        <v/>
      </c>
      <c r="M190" s="26" t="n">
        <v>21000</v>
      </c>
    </row>
    <row r="191">
      <c r="A191" s="13" t="inlineStr">
        <is>
          <t>E3187</t>
        </is>
      </c>
      <c r="B191" s="12" t="inlineStr">
        <is>
          <t>Lwazi Ngcobo</t>
        </is>
      </c>
      <c r="C191" s="13" t="inlineStr">
        <is>
          <t>Male</t>
        </is>
      </c>
      <c r="D191" s="12" t="inlineStr">
        <is>
          <t>Quality</t>
        </is>
      </c>
      <c r="E191" s="12" t="inlineStr">
        <is>
          <t>DStv Upsell</t>
        </is>
      </c>
      <c r="F191" s="12" t="inlineStr">
        <is>
          <t>Cape Town</t>
        </is>
      </c>
      <c r="G191" s="21" t="n">
        <v>46066</v>
      </c>
      <c r="H191" s="13" t="inlineStr">
        <is>
          <t>Active</t>
        </is>
      </c>
      <c r="I191" s="13" t="inlineStr"/>
      <c r="J191" s="13" t="n">
        <v>39</v>
      </c>
      <c r="K191" s="22">
        <f>IF(H191="Resigned",(I191-G191),(TODAY()-G191))/30.437</f>
        <v/>
      </c>
      <c r="L191" s="12">
        <f>IF(K191&lt;3,"0-3 months",IF(K191&lt;6,"3-6 months",IF(K191&lt;12,"6-12 months","12+ months")))</f>
        <v/>
      </c>
      <c r="M191" s="23" t="n">
        <v>39000</v>
      </c>
    </row>
    <row r="192">
      <c r="A192" s="10" t="inlineStr">
        <is>
          <t>E3188</t>
        </is>
      </c>
      <c r="B192" s="9" t="inlineStr">
        <is>
          <t>Dineo Van Wyk</t>
        </is>
      </c>
      <c r="C192" s="10" t="inlineStr">
        <is>
          <t>Female</t>
        </is>
      </c>
      <c r="D192" s="9" t="inlineStr">
        <is>
          <t>IT Support</t>
        </is>
      </c>
      <c r="E192" s="9" t="inlineStr">
        <is>
          <t>ABSA Collections</t>
        </is>
      </c>
      <c r="F192" s="9" t="inlineStr">
        <is>
          <t>Johannesburg</t>
        </is>
      </c>
      <c r="G192" s="24" t="n">
        <v>45976</v>
      </c>
      <c r="H192" s="10" t="inlineStr">
        <is>
          <t>Active</t>
        </is>
      </c>
      <c r="I192" s="10" t="inlineStr"/>
      <c r="J192" s="10" t="n">
        <v>52</v>
      </c>
      <c r="K192" s="25">
        <f>IF(H192="Resigned",(I192-G192),(TODAY()-G192))/30.437</f>
        <v/>
      </c>
      <c r="L192" s="9">
        <f>IF(K192&lt;3,"0-3 months",IF(K192&lt;6,"3-6 months",IF(K192&lt;12,"6-12 months","12+ months")))</f>
        <v/>
      </c>
      <c r="M192" s="26" t="n">
        <v>39000</v>
      </c>
    </row>
    <row r="193">
      <c r="A193" s="13" t="inlineStr">
        <is>
          <t>E3189</t>
        </is>
      </c>
      <c r="B193" s="12" t="inlineStr">
        <is>
          <t>Kagiso Cele</t>
        </is>
      </c>
      <c r="C193" s="13" t="inlineStr">
        <is>
          <t>Female</t>
        </is>
      </c>
      <c r="D193" s="12" t="inlineStr">
        <is>
          <t>Operations</t>
        </is>
      </c>
      <c r="E193" s="12" t="inlineStr">
        <is>
          <t>MTN Retentions</t>
        </is>
      </c>
      <c r="F193" s="12" t="inlineStr">
        <is>
          <t>Cape Town</t>
        </is>
      </c>
      <c r="G193" s="21" t="n">
        <v>45953</v>
      </c>
      <c r="H193" s="13" t="inlineStr">
        <is>
          <t>Active</t>
        </is>
      </c>
      <c r="I193" s="13" t="inlineStr"/>
      <c r="J193" s="13" t="n">
        <v>48</v>
      </c>
      <c r="K193" s="22">
        <f>IF(H193="Resigned",(I193-G193),(TODAY()-G193))/30.437</f>
        <v/>
      </c>
      <c r="L193" s="12">
        <f>IF(K193&lt;3,"0-3 months",IF(K193&lt;6,"3-6 months",IF(K193&lt;12,"6-12 months","12+ months")))</f>
        <v/>
      </c>
      <c r="M193" s="23" t="n">
        <v>28000</v>
      </c>
    </row>
    <row r="194">
      <c r="A194" s="10" t="inlineStr">
        <is>
          <t>E3190</t>
        </is>
      </c>
      <c r="B194" s="9" t="inlineStr">
        <is>
          <t>Sanele Ngcobo</t>
        </is>
      </c>
      <c r="C194" s="10" t="inlineStr">
        <is>
          <t>Male</t>
        </is>
      </c>
      <c r="D194" s="9" t="inlineStr">
        <is>
          <t>Quality</t>
        </is>
      </c>
      <c r="E194" s="9" t="inlineStr">
        <is>
          <t>MTN Retentions</t>
        </is>
      </c>
      <c r="F194" s="9" t="inlineStr">
        <is>
          <t>Durban</t>
        </is>
      </c>
      <c r="G194" s="24" t="n">
        <v>45385</v>
      </c>
      <c r="H194" s="10" t="inlineStr">
        <is>
          <t>Resigned</t>
        </is>
      </c>
      <c r="I194" s="24" t="n">
        <v>45860</v>
      </c>
      <c r="J194" s="10" t="n">
        <v>41</v>
      </c>
      <c r="K194" s="25">
        <f>IF(H194="Resigned",(I194-G194),(TODAY()-G194))/30.437</f>
        <v/>
      </c>
      <c r="L194" s="9">
        <f>IF(K194&lt;3,"0-3 months",IF(K194&lt;6,"3-6 months",IF(K194&lt;12,"6-12 months","12+ months")))</f>
        <v/>
      </c>
      <c r="M194" s="26" t="n">
        <v>16500</v>
      </c>
    </row>
    <row r="195">
      <c r="A195" s="13" t="inlineStr">
        <is>
          <t>E3191</t>
        </is>
      </c>
      <c r="B195" s="12" t="inlineStr">
        <is>
          <t>Bandile Mokoena</t>
        </is>
      </c>
      <c r="C195" s="13" t="inlineStr">
        <is>
          <t>Female</t>
        </is>
      </c>
      <c r="D195" s="12" t="inlineStr">
        <is>
          <t>Sales</t>
        </is>
      </c>
      <c r="E195" s="12" t="inlineStr">
        <is>
          <t>MTN Retentions</t>
        </is>
      </c>
      <c r="F195" s="12" t="inlineStr">
        <is>
          <t>Cape Town</t>
        </is>
      </c>
      <c r="G195" s="21" t="n">
        <v>46156</v>
      </c>
      <c r="H195" s="13" t="inlineStr">
        <is>
          <t>Active</t>
        </is>
      </c>
      <c r="I195" s="13" t="inlineStr"/>
      <c r="J195" s="13" t="n">
        <v>43</v>
      </c>
      <c r="K195" s="22">
        <f>IF(H195="Resigned",(I195-G195),(TODAY()-G195))/30.437</f>
        <v/>
      </c>
      <c r="L195" s="12">
        <f>IF(K195&lt;3,"0-3 months",IF(K195&lt;6,"3-6 months",IF(K195&lt;12,"6-12 months","12+ months")))</f>
        <v/>
      </c>
      <c r="M195" s="23" t="n">
        <v>21000</v>
      </c>
    </row>
    <row r="196">
      <c r="A196" s="10" t="inlineStr">
        <is>
          <t>E3192</t>
        </is>
      </c>
      <c r="B196" s="9" t="inlineStr">
        <is>
          <t>Sanele Motaung</t>
        </is>
      </c>
      <c r="C196" s="10" t="inlineStr">
        <is>
          <t>Female</t>
        </is>
      </c>
      <c r="D196" s="9" t="inlineStr">
        <is>
          <t>Admin</t>
        </is>
      </c>
      <c r="E196" s="9" t="inlineStr">
        <is>
          <t>Discovery Lead Gen</t>
        </is>
      </c>
      <c r="F196" s="9" t="inlineStr">
        <is>
          <t>Pretoria</t>
        </is>
      </c>
      <c r="G196" s="24" t="n">
        <v>45246</v>
      </c>
      <c r="H196" s="10" t="inlineStr">
        <is>
          <t>Resigned</t>
        </is>
      </c>
      <c r="I196" s="24" t="n">
        <v>45763</v>
      </c>
      <c r="J196" s="10" t="n">
        <v>54</v>
      </c>
      <c r="K196" s="25">
        <f>IF(H196="Resigned",(I196-G196),(TODAY()-G196))/30.437</f>
        <v/>
      </c>
      <c r="L196" s="9">
        <f>IF(K196&lt;3,"0-3 months",IF(K196&lt;6,"3-6 months",IF(K196&lt;12,"6-12 months","12+ months")))</f>
        <v/>
      </c>
      <c r="M196" s="26" t="n">
        <v>24000</v>
      </c>
    </row>
    <row r="197">
      <c r="A197" s="13" t="inlineStr">
        <is>
          <t>E3193</t>
        </is>
      </c>
      <c r="B197" s="12" t="inlineStr">
        <is>
          <t>Sanele Ngcobo</t>
        </is>
      </c>
      <c r="C197" s="13" t="inlineStr">
        <is>
          <t>Female</t>
        </is>
      </c>
      <c r="D197" s="12" t="inlineStr">
        <is>
          <t>Training</t>
        </is>
      </c>
      <c r="E197" s="12" t="inlineStr">
        <is>
          <t>Standard Bank Helpdesk</t>
        </is>
      </c>
      <c r="F197" s="12" t="inlineStr">
        <is>
          <t>Pretoria</t>
        </is>
      </c>
      <c r="G197" s="21" t="n">
        <v>45303</v>
      </c>
      <c r="H197" s="13" t="inlineStr">
        <is>
          <t>Active</t>
        </is>
      </c>
      <c r="I197" s="13" t="inlineStr"/>
      <c r="J197" s="13" t="n">
        <v>27</v>
      </c>
      <c r="K197" s="22">
        <f>IF(H197="Resigned",(I197-G197),(TODAY()-G197))/30.437</f>
        <v/>
      </c>
      <c r="L197" s="12">
        <f>IF(K197&lt;3,"0-3 months",IF(K197&lt;6,"3-6 months",IF(K197&lt;12,"6-12 months","12+ months")))</f>
        <v/>
      </c>
      <c r="M197" s="23" t="n">
        <v>24000</v>
      </c>
    </row>
    <row r="198">
      <c r="A198" s="10" t="inlineStr">
        <is>
          <t>E3194</t>
        </is>
      </c>
      <c r="B198" s="9" t="inlineStr">
        <is>
          <t>Tshepo Mokoena</t>
        </is>
      </c>
      <c r="C198" s="10" t="inlineStr">
        <is>
          <t>Male</t>
        </is>
      </c>
      <c r="D198" s="9" t="inlineStr">
        <is>
          <t>Operations</t>
        </is>
      </c>
      <c r="E198" s="9" t="inlineStr">
        <is>
          <t>Vodacom Upgrades</t>
        </is>
      </c>
      <c r="F198" s="9" t="inlineStr">
        <is>
          <t>Port Elizabeth</t>
        </is>
      </c>
      <c r="G198" s="24" t="n">
        <v>45044</v>
      </c>
      <c r="H198" s="10" t="inlineStr">
        <is>
          <t>Active</t>
        </is>
      </c>
      <c r="I198" s="10" t="inlineStr"/>
      <c r="J198" s="10" t="n">
        <v>41</v>
      </c>
      <c r="K198" s="25">
        <f>IF(H198="Resigned",(I198-G198),(TODAY()-G198))/30.437</f>
        <v/>
      </c>
      <c r="L198" s="9">
        <f>IF(K198&lt;3,"0-3 months",IF(K198&lt;6,"3-6 months",IF(K198&lt;12,"6-12 months","12+ months")))</f>
        <v/>
      </c>
      <c r="M198" s="26" t="n">
        <v>24000</v>
      </c>
    </row>
    <row r="199">
      <c r="A199" s="13" t="inlineStr">
        <is>
          <t>E3195</t>
        </is>
      </c>
      <c r="B199" s="12" t="inlineStr">
        <is>
          <t>Sanele Tshabalala</t>
        </is>
      </c>
      <c r="C199" s="13" t="inlineStr">
        <is>
          <t>Male</t>
        </is>
      </c>
      <c r="D199" s="12" t="inlineStr">
        <is>
          <t>Operations</t>
        </is>
      </c>
      <c r="E199" s="12" t="inlineStr">
        <is>
          <t>Shoprite Surveys</t>
        </is>
      </c>
      <c r="F199" s="12" t="inlineStr">
        <is>
          <t>Pretoria</t>
        </is>
      </c>
      <c r="G199" s="21" t="n">
        <v>46096</v>
      </c>
      <c r="H199" s="13" t="inlineStr">
        <is>
          <t>Active</t>
        </is>
      </c>
      <c r="I199" s="13" t="inlineStr"/>
      <c r="J199" s="13" t="n">
        <v>36</v>
      </c>
      <c r="K199" s="22">
        <f>IF(H199="Resigned",(I199-G199),(TODAY()-G199))/30.437</f>
        <v/>
      </c>
      <c r="L199" s="12">
        <f>IF(K199&lt;3,"0-3 months",IF(K199&lt;6,"3-6 months",IF(K199&lt;12,"6-12 months","12+ months")))</f>
        <v/>
      </c>
      <c r="M199" s="23" t="n">
        <v>16500</v>
      </c>
    </row>
    <row r="200">
      <c r="A200" s="10" t="inlineStr">
        <is>
          <t>E3196</t>
        </is>
      </c>
      <c r="B200" s="9" t="inlineStr">
        <is>
          <t>Mandla Ndlovu</t>
        </is>
      </c>
      <c r="C200" s="10" t="inlineStr">
        <is>
          <t>Female</t>
        </is>
      </c>
      <c r="D200" s="9" t="inlineStr">
        <is>
          <t>Customer Care</t>
        </is>
      </c>
      <c r="E200" s="9" t="inlineStr">
        <is>
          <t>Cell C Winback</t>
        </is>
      </c>
      <c r="F200" s="9" t="inlineStr">
        <is>
          <t>Johannesburg</t>
        </is>
      </c>
      <c r="G200" s="24" t="n">
        <v>46098</v>
      </c>
      <c r="H200" s="10" t="inlineStr">
        <is>
          <t>Resigned</t>
        </is>
      </c>
      <c r="I200" s="24" t="n">
        <v>46239</v>
      </c>
      <c r="J200" s="10" t="n">
        <v>45</v>
      </c>
      <c r="K200" s="25">
        <f>IF(H200="Resigned",(I200-G200),(TODAY()-G200))/30.437</f>
        <v/>
      </c>
      <c r="L200" s="9">
        <f>IF(K200&lt;3,"0-3 months",IF(K200&lt;6,"3-6 months",IF(K200&lt;12,"6-12 months","12+ months")))</f>
        <v/>
      </c>
      <c r="M200" s="26" t="n">
        <v>33000</v>
      </c>
    </row>
    <row r="201">
      <c r="A201" s="13" t="inlineStr">
        <is>
          <t>E3197</t>
        </is>
      </c>
      <c r="B201" s="12" t="inlineStr">
        <is>
          <t>Nkanyiso Radebe</t>
        </is>
      </c>
      <c r="C201" s="13" t="inlineStr">
        <is>
          <t>Female</t>
        </is>
      </c>
      <c r="D201" s="12" t="inlineStr">
        <is>
          <t>Training</t>
        </is>
      </c>
      <c r="E201" s="12" t="inlineStr">
        <is>
          <t>Standard Bank Helpdesk</t>
        </is>
      </c>
      <c r="F201" s="12" t="inlineStr">
        <is>
          <t>Port Elizabeth</t>
        </is>
      </c>
      <c r="G201" s="21" t="n">
        <v>45881</v>
      </c>
      <c r="H201" s="13" t="inlineStr">
        <is>
          <t>Active</t>
        </is>
      </c>
      <c r="I201" s="13" t="inlineStr"/>
      <c r="J201" s="13" t="n">
        <v>47</v>
      </c>
      <c r="K201" s="22">
        <f>IF(H201="Resigned",(I201-G201),(TODAY()-G201))/30.437</f>
        <v/>
      </c>
      <c r="L201" s="12">
        <f>IF(K201&lt;3,"0-3 months",IF(K201&lt;6,"3-6 months",IF(K201&lt;12,"6-12 months","12+ months")))</f>
        <v/>
      </c>
      <c r="M201" s="23" t="n">
        <v>21000</v>
      </c>
    </row>
    <row r="202">
      <c r="A202" s="10" t="inlineStr">
        <is>
          <t>E3198</t>
        </is>
      </c>
      <c r="B202" s="9" t="inlineStr">
        <is>
          <t>Tumelo Radebe</t>
        </is>
      </c>
      <c r="C202" s="10" t="inlineStr">
        <is>
          <t>Female</t>
        </is>
      </c>
      <c r="D202" s="9" t="inlineStr">
        <is>
          <t>Training</t>
        </is>
      </c>
      <c r="E202" s="9" t="inlineStr">
        <is>
          <t>Discovery Lead Gen</t>
        </is>
      </c>
      <c r="F202" s="9" t="inlineStr">
        <is>
          <t>Johannesburg</t>
        </is>
      </c>
      <c r="G202" s="24" t="n">
        <v>45876</v>
      </c>
      <c r="H202" s="10" t="inlineStr">
        <is>
          <t>Active</t>
        </is>
      </c>
      <c r="I202" s="10" t="inlineStr"/>
      <c r="J202" s="10" t="n">
        <v>25</v>
      </c>
      <c r="K202" s="25">
        <f>IF(H202="Resigned",(I202-G202),(TODAY()-G202))/30.437</f>
        <v/>
      </c>
      <c r="L202" s="9">
        <f>IF(K202&lt;3,"0-3 months",IF(K202&lt;6,"3-6 months",IF(K202&lt;12,"6-12 months","12+ months")))</f>
        <v/>
      </c>
      <c r="M202" s="26" t="n">
        <v>15000</v>
      </c>
    </row>
    <row r="203">
      <c r="A203" s="13" t="inlineStr">
        <is>
          <t>E3199</t>
        </is>
      </c>
      <c r="B203" s="12" t="inlineStr">
        <is>
          <t>Lerato Motaung</t>
        </is>
      </c>
      <c r="C203" s="13" t="inlineStr">
        <is>
          <t>Male</t>
        </is>
      </c>
      <c r="D203" s="12" t="inlineStr">
        <is>
          <t>Team Leaders</t>
        </is>
      </c>
      <c r="E203" s="12" t="inlineStr">
        <is>
          <t>Shoprite Surveys</t>
        </is>
      </c>
      <c r="F203" s="12" t="inlineStr">
        <is>
          <t>Durban</t>
        </is>
      </c>
      <c r="G203" s="21" t="n">
        <v>45525</v>
      </c>
      <c r="H203" s="13" t="inlineStr">
        <is>
          <t>Active</t>
        </is>
      </c>
      <c r="I203" s="13" t="inlineStr"/>
      <c r="J203" s="13" t="n">
        <v>38</v>
      </c>
      <c r="K203" s="22">
        <f>IF(H203="Resigned",(I203-G203),(TODAY()-G203))/30.437</f>
        <v/>
      </c>
      <c r="L203" s="12">
        <f>IF(K203&lt;3,"0-3 months",IF(K203&lt;6,"3-6 months",IF(K203&lt;12,"6-12 months","12+ months")))</f>
        <v/>
      </c>
      <c r="M203" s="23" t="n">
        <v>13500</v>
      </c>
    </row>
    <row r="204">
      <c r="A204" s="10" t="inlineStr">
        <is>
          <t>E3200</t>
        </is>
      </c>
      <c r="B204" s="9" t="inlineStr">
        <is>
          <t>Tshepo Pillay</t>
        </is>
      </c>
      <c r="C204" s="10" t="inlineStr">
        <is>
          <t>Male</t>
        </is>
      </c>
      <c r="D204" s="9" t="inlineStr">
        <is>
          <t>Quality</t>
        </is>
      </c>
      <c r="E204" s="9" t="inlineStr">
        <is>
          <t>DStv Upsell</t>
        </is>
      </c>
      <c r="F204" s="9" t="inlineStr">
        <is>
          <t>Johannesburg</t>
        </is>
      </c>
      <c r="G204" s="24" t="n">
        <v>45798</v>
      </c>
      <c r="H204" s="10" t="inlineStr">
        <is>
          <t>Resigned</t>
        </is>
      </c>
      <c r="I204" s="24" t="n">
        <v>46036</v>
      </c>
      <c r="J204" s="10" t="n">
        <v>44</v>
      </c>
      <c r="K204" s="25">
        <f>IF(H204="Resigned",(I204-G204),(TODAY()-G204))/30.437</f>
        <v/>
      </c>
      <c r="L204" s="9">
        <f>IF(K204&lt;3,"0-3 months",IF(K204&lt;6,"3-6 months",IF(K204&lt;12,"6-12 months","12+ months")))</f>
        <v/>
      </c>
      <c r="M204" s="26" t="n">
        <v>39000</v>
      </c>
    </row>
    <row r="205">
      <c r="A205" s="13" t="inlineStr">
        <is>
          <t>E3201</t>
        </is>
      </c>
      <c r="B205" s="12" t="inlineStr">
        <is>
          <t>Palesa Mabaso</t>
        </is>
      </c>
      <c r="C205" s="13" t="inlineStr">
        <is>
          <t>Female</t>
        </is>
      </c>
      <c r="D205" s="12" t="inlineStr">
        <is>
          <t>Operations</t>
        </is>
      </c>
      <c r="E205" s="12" t="inlineStr">
        <is>
          <t>Shoprite Surveys</t>
        </is>
      </c>
      <c r="F205" s="12" t="inlineStr">
        <is>
          <t>Cape Town</t>
        </is>
      </c>
      <c r="G205" s="21" t="n">
        <v>45877</v>
      </c>
      <c r="H205" s="13" t="inlineStr">
        <is>
          <t>Active</t>
        </is>
      </c>
      <c r="I205" s="13" t="inlineStr"/>
      <c r="J205" s="13" t="n">
        <v>31</v>
      </c>
      <c r="K205" s="22">
        <f>IF(H205="Resigned",(I205-G205),(TODAY()-G205))/30.437</f>
        <v/>
      </c>
      <c r="L205" s="12">
        <f>IF(K205&lt;3,"0-3 months",IF(K205&lt;6,"3-6 months",IF(K205&lt;12,"6-12 months","12+ months")))</f>
        <v/>
      </c>
      <c r="M205" s="23" t="n">
        <v>16500</v>
      </c>
    </row>
    <row r="206">
      <c r="A206" s="10" t="inlineStr">
        <is>
          <t>E3202</t>
        </is>
      </c>
      <c r="B206" s="9" t="inlineStr">
        <is>
          <t>Neo Govender</t>
        </is>
      </c>
      <c r="C206" s="10" t="inlineStr">
        <is>
          <t>Male</t>
        </is>
      </c>
      <c r="D206" s="9" t="inlineStr">
        <is>
          <t>Sales</t>
        </is>
      </c>
      <c r="E206" s="9" t="inlineStr">
        <is>
          <t>Nedbank Debt Review</t>
        </is>
      </c>
      <c r="F206" s="9" t="inlineStr">
        <is>
          <t>Pretoria</t>
        </is>
      </c>
      <c r="G206" s="24" t="n">
        <v>46156</v>
      </c>
      <c r="H206" s="10" t="inlineStr">
        <is>
          <t>Resigned</t>
        </is>
      </c>
      <c r="I206" s="24" t="n">
        <v>46185</v>
      </c>
      <c r="J206" s="10" t="n">
        <v>35</v>
      </c>
      <c r="K206" s="25">
        <f>IF(H206="Resigned",(I206-G206),(TODAY()-G206))/30.437</f>
        <v/>
      </c>
      <c r="L206" s="9">
        <f>IF(K206&lt;3,"0-3 months",IF(K206&lt;6,"3-6 months",IF(K206&lt;12,"6-12 months","12+ months")))</f>
        <v/>
      </c>
      <c r="M206" s="26" t="n">
        <v>39000</v>
      </c>
    </row>
    <row r="207">
      <c r="A207" s="13" t="inlineStr">
        <is>
          <t>E3203</t>
        </is>
      </c>
      <c r="B207" s="12" t="inlineStr">
        <is>
          <t>Thabo Petersen</t>
        </is>
      </c>
      <c r="C207" s="13" t="inlineStr">
        <is>
          <t>Female</t>
        </is>
      </c>
      <c r="D207" s="12" t="inlineStr">
        <is>
          <t>Operations</t>
        </is>
      </c>
      <c r="E207" s="12" t="inlineStr">
        <is>
          <t>Standard Bank Helpdesk</t>
        </is>
      </c>
      <c r="F207" s="12" t="inlineStr">
        <is>
          <t>Cape Town</t>
        </is>
      </c>
      <c r="G207" s="21" t="n">
        <v>45404</v>
      </c>
      <c r="H207" s="13" t="inlineStr">
        <is>
          <t>Active</t>
        </is>
      </c>
      <c r="I207" s="13" t="inlineStr"/>
      <c r="J207" s="13" t="n">
        <v>45</v>
      </c>
      <c r="K207" s="22">
        <f>IF(H207="Resigned",(I207-G207),(TODAY()-G207))/30.437</f>
        <v/>
      </c>
      <c r="L207" s="12">
        <f>IF(K207&lt;3,"0-3 months",IF(K207&lt;6,"3-6 months",IF(K207&lt;12,"6-12 months","12+ months")))</f>
        <v/>
      </c>
      <c r="M207" s="23" t="n">
        <v>13500</v>
      </c>
    </row>
    <row r="208">
      <c r="A208" s="10" t="inlineStr">
        <is>
          <t>E3204</t>
        </is>
      </c>
      <c r="B208" s="9" t="inlineStr">
        <is>
          <t>Themba Govender</t>
        </is>
      </c>
      <c r="C208" s="10" t="inlineStr">
        <is>
          <t>Male</t>
        </is>
      </c>
      <c r="D208" s="9" t="inlineStr">
        <is>
          <t>Training</t>
        </is>
      </c>
      <c r="E208" s="9" t="inlineStr">
        <is>
          <t>DStv Upsell</t>
        </is>
      </c>
      <c r="F208" s="9" t="inlineStr">
        <is>
          <t>Cape Town</t>
        </is>
      </c>
      <c r="G208" s="24" t="n">
        <v>45775</v>
      </c>
      <c r="H208" s="10" t="inlineStr">
        <is>
          <t>Active</t>
        </is>
      </c>
      <c r="I208" s="10" t="inlineStr"/>
      <c r="J208" s="10" t="n">
        <v>52</v>
      </c>
      <c r="K208" s="25">
        <f>IF(H208="Resigned",(I208-G208),(TODAY()-G208))/30.437</f>
        <v/>
      </c>
      <c r="L208" s="9">
        <f>IF(K208&lt;3,"0-3 months",IF(K208&lt;6,"3-6 months",IF(K208&lt;12,"6-12 months","12+ months")))</f>
        <v/>
      </c>
      <c r="M208" s="26" t="n">
        <v>15000</v>
      </c>
    </row>
    <row r="209">
      <c r="A209" s="13" t="inlineStr">
        <is>
          <t>E3205</t>
        </is>
      </c>
      <c r="B209" s="12" t="inlineStr">
        <is>
          <t>Onalenna Ndlovu</t>
        </is>
      </c>
      <c r="C209" s="13" t="inlineStr">
        <is>
          <t>Female</t>
        </is>
      </c>
      <c r="D209" s="12" t="inlineStr">
        <is>
          <t>Quality</t>
        </is>
      </c>
      <c r="E209" s="12" t="inlineStr">
        <is>
          <t>MTN Retentions</t>
        </is>
      </c>
      <c r="F209" s="12" t="inlineStr">
        <is>
          <t>Durban</t>
        </is>
      </c>
      <c r="G209" s="21" t="n">
        <v>45940</v>
      </c>
      <c r="H209" s="13" t="inlineStr">
        <is>
          <t>Active</t>
        </is>
      </c>
      <c r="I209" s="13" t="inlineStr"/>
      <c r="J209" s="13" t="n">
        <v>47</v>
      </c>
      <c r="K209" s="22">
        <f>IF(H209="Resigned",(I209-G209),(TODAY()-G209))/30.437</f>
        <v/>
      </c>
      <c r="L209" s="12">
        <f>IF(K209&lt;3,"0-3 months",IF(K209&lt;6,"3-6 months",IF(K209&lt;12,"6-12 months","12+ months")))</f>
        <v/>
      </c>
      <c r="M209" s="23" t="n">
        <v>18500</v>
      </c>
    </row>
    <row r="210">
      <c r="A210" s="10" t="inlineStr">
        <is>
          <t>E3206</t>
        </is>
      </c>
      <c r="B210" s="9" t="inlineStr">
        <is>
          <t>Mandla Botha</t>
        </is>
      </c>
      <c r="C210" s="10" t="inlineStr">
        <is>
          <t>Male</t>
        </is>
      </c>
      <c r="D210" s="9" t="inlineStr">
        <is>
          <t>IT Support</t>
        </is>
      </c>
      <c r="E210" s="9" t="inlineStr">
        <is>
          <t>Takealot Care</t>
        </is>
      </c>
      <c r="F210" s="9" t="inlineStr">
        <is>
          <t>Johannesburg</t>
        </is>
      </c>
      <c r="G210" s="24" t="n">
        <v>45615</v>
      </c>
      <c r="H210" s="10" t="inlineStr">
        <is>
          <t>Active</t>
        </is>
      </c>
      <c r="I210" s="10" t="inlineStr"/>
      <c r="J210" s="10" t="n">
        <v>49</v>
      </c>
      <c r="K210" s="25">
        <f>IF(H210="Resigned",(I210-G210),(TODAY()-G210))/30.437</f>
        <v/>
      </c>
      <c r="L210" s="9">
        <f>IF(K210&lt;3,"0-3 months",IF(K210&lt;6,"3-6 months",IF(K210&lt;12,"6-12 months","12+ months")))</f>
        <v/>
      </c>
      <c r="M210" s="26" t="n">
        <v>16500</v>
      </c>
    </row>
    <row r="211">
      <c r="A211" s="13" t="inlineStr">
        <is>
          <t>E3207</t>
        </is>
      </c>
      <c r="B211" s="12" t="inlineStr">
        <is>
          <t>Kabelo Botha</t>
        </is>
      </c>
      <c r="C211" s="13" t="inlineStr">
        <is>
          <t>Male</t>
        </is>
      </c>
      <c r="D211" s="12" t="inlineStr">
        <is>
          <t>Team Leaders</t>
        </is>
      </c>
      <c r="E211" s="12" t="inlineStr">
        <is>
          <t>Shoprite Surveys</t>
        </is>
      </c>
      <c r="F211" s="12" t="inlineStr">
        <is>
          <t>Durban</t>
        </is>
      </c>
      <c r="G211" s="21" t="n">
        <v>46028</v>
      </c>
      <c r="H211" s="13" t="inlineStr">
        <is>
          <t>Active</t>
        </is>
      </c>
      <c r="I211" s="13" t="inlineStr"/>
      <c r="J211" s="13" t="n">
        <v>37</v>
      </c>
      <c r="K211" s="22">
        <f>IF(H211="Resigned",(I211-G211),(TODAY()-G211))/30.437</f>
        <v/>
      </c>
      <c r="L211" s="12">
        <f>IF(K211&lt;3,"0-3 months",IF(K211&lt;6,"3-6 months",IF(K211&lt;12,"6-12 months","12+ months")))</f>
        <v/>
      </c>
      <c r="M211" s="23" t="n">
        <v>28000</v>
      </c>
    </row>
    <row r="212">
      <c r="A212" s="10" t="inlineStr">
        <is>
          <t>E3208</t>
        </is>
      </c>
      <c r="B212" s="9" t="inlineStr">
        <is>
          <t>Dineo Buthelezi</t>
        </is>
      </c>
      <c r="C212" s="10" t="inlineStr">
        <is>
          <t>Male</t>
        </is>
      </c>
      <c r="D212" s="9" t="inlineStr">
        <is>
          <t>Operations</t>
        </is>
      </c>
      <c r="E212" s="9" t="inlineStr">
        <is>
          <t>Cell C Winback</t>
        </is>
      </c>
      <c r="F212" s="9" t="inlineStr">
        <is>
          <t>Cape Town</t>
        </is>
      </c>
      <c r="G212" s="24" t="n">
        <v>45504</v>
      </c>
      <c r="H212" s="10" t="inlineStr">
        <is>
          <t>Active</t>
        </is>
      </c>
      <c r="I212" s="10" t="inlineStr"/>
      <c r="J212" s="10" t="n">
        <v>43</v>
      </c>
      <c r="K212" s="25">
        <f>IF(H212="Resigned",(I212-G212),(TODAY()-G212))/30.437</f>
        <v/>
      </c>
      <c r="L212" s="9">
        <f>IF(K212&lt;3,"0-3 months",IF(K212&lt;6,"3-6 months",IF(K212&lt;12,"6-12 months","12+ months")))</f>
        <v/>
      </c>
      <c r="M212" s="26" t="n">
        <v>39000</v>
      </c>
    </row>
    <row r="213">
      <c r="A213" s="13" t="inlineStr">
        <is>
          <t>E3209</t>
        </is>
      </c>
      <c r="B213" s="12" t="inlineStr">
        <is>
          <t>Lwazi Botha</t>
        </is>
      </c>
      <c r="C213" s="13" t="inlineStr">
        <is>
          <t>Female</t>
        </is>
      </c>
      <c r="D213" s="12" t="inlineStr">
        <is>
          <t>Admin</t>
        </is>
      </c>
      <c r="E213" s="12" t="inlineStr">
        <is>
          <t>Telkom Tech Support</t>
        </is>
      </c>
      <c r="F213" s="12" t="inlineStr">
        <is>
          <t>Johannesburg</t>
        </is>
      </c>
      <c r="G213" s="21" t="n">
        <v>45933</v>
      </c>
      <c r="H213" s="13" t="inlineStr">
        <is>
          <t>Active</t>
        </is>
      </c>
      <c r="I213" s="13" t="inlineStr"/>
      <c r="J213" s="13" t="n">
        <v>38</v>
      </c>
      <c r="K213" s="22">
        <f>IF(H213="Resigned",(I213-G213),(TODAY()-G213))/30.437</f>
        <v/>
      </c>
      <c r="L213" s="12">
        <f>IF(K213&lt;3,"0-3 months",IF(K213&lt;6,"3-6 months",IF(K213&lt;12,"6-12 months","12+ months")))</f>
        <v/>
      </c>
      <c r="M213" s="23" t="n">
        <v>24000</v>
      </c>
    </row>
    <row r="214">
      <c r="A214" s="10" t="inlineStr">
        <is>
          <t>E3210</t>
        </is>
      </c>
      <c r="B214" s="9" t="inlineStr">
        <is>
          <t>Neo Botha</t>
        </is>
      </c>
      <c r="C214" s="10" t="inlineStr">
        <is>
          <t>Male</t>
        </is>
      </c>
      <c r="D214" s="9" t="inlineStr">
        <is>
          <t>Admin</t>
        </is>
      </c>
      <c r="E214" s="9" t="inlineStr">
        <is>
          <t>Nedbank Debt Review</t>
        </is>
      </c>
      <c r="F214" s="9" t="inlineStr">
        <is>
          <t>Pretoria</t>
        </is>
      </c>
      <c r="G214" s="24" t="n">
        <v>45191</v>
      </c>
      <c r="H214" s="10" t="inlineStr">
        <is>
          <t>Active</t>
        </is>
      </c>
      <c r="I214" s="10" t="inlineStr"/>
      <c r="J214" s="10" t="n">
        <v>46</v>
      </c>
      <c r="K214" s="25">
        <f>IF(H214="Resigned",(I214-G214),(TODAY()-G214))/30.437</f>
        <v/>
      </c>
      <c r="L214" s="9">
        <f>IF(K214&lt;3,"0-3 months",IF(K214&lt;6,"3-6 months",IF(K214&lt;12,"6-12 months","12+ months")))</f>
        <v/>
      </c>
      <c r="M214" s="26" t="n">
        <v>39000</v>
      </c>
    </row>
    <row r="215">
      <c r="A215" s="13" t="inlineStr">
        <is>
          <t>E3211</t>
        </is>
      </c>
      <c r="B215" s="12" t="inlineStr">
        <is>
          <t>Onalenna Cele</t>
        </is>
      </c>
      <c r="C215" s="13" t="inlineStr">
        <is>
          <t>Female</t>
        </is>
      </c>
      <c r="D215" s="12" t="inlineStr">
        <is>
          <t>Training</t>
        </is>
      </c>
      <c r="E215" s="12" t="inlineStr">
        <is>
          <t>Cell C Winback</t>
        </is>
      </c>
      <c r="F215" s="12" t="inlineStr">
        <is>
          <t>Port Elizabeth</t>
        </is>
      </c>
      <c r="G215" s="21" t="n">
        <v>45867</v>
      </c>
      <c r="H215" s="13" t="inlineStr">
        <is>
          <t>Resigned</t>
        </is>
      </c>
      <c r="I215" s="21" t="n">
        <v>46228</v>
      </c>
      <c r="J215" s="13" t="n">
        <v>24</v>
      </c>
      <c r="K215" s="22">
        <f>IF(H215="Resigned",(I215-G215),(TODAY()-G215))/30.437</f>
        <v/>
      </c>
      <c r="L215" s="12">
        <f>IF(K215&lt;3,"0-3 months",IF(K215&lt;6,"3-6 months",IF(K215&lt;12,"6-12 months","12+ months")))</f>
        <v/>
      </c>
      <c r="M215" s="23" t="n">
        <v>15000</v>
      </c>
    </row>
    <row r="216">
      <c r="A216" s="10" t="inlineStr">
        <is>
          <t>E3212</t>
        </is>
      </c>
      <c r="B216" s="9" t="inlineStr">
        <is>
          <t>Nosipho Nel</t>
        </is>
      </c>
      <c r="C216" s="10" t="inlineStr">
        <is>
          <t>Female</t>
        </is>
      </c>
      <c r="D216" s="9" t="inlineStr">
        <is>
          <t>Operations</t>
        </is>
      </c>
      <c r="E216" s="9" t="inlineStr">
        <is>
          <t>Standard Bank Helpdesk</t>
        </is>
      </c>
      <c r="F216" s="9" t="inlineStr">
        <is>
          <t>Johannesburg</t>
        </is>
      </c>
      <c r="G216" s="24" t="n">
        <v>45494</v>
      </c>
      <c r="H216" s="10" t="inlineStr">
        <is>
          <t>Active</t>
        </is>
      </c>
      <c r="I216" s="10" t="inlineStr"/>
      <c r="J216" s="10" t="n">
        <v>48</v>
      </c>
      <c r="K216" s="25">
        <f>IF(H216="Resigned",(I216-G216),(TODAY()-G216))/30.437</f>
        <v/>
      </c>
      <c r="L216" s="9">
        <f>IF(K216&lt;3,"0-3 months",IF(K216&lt;6,"3-6 months",IF(K216&lt;12,"6-12 months","12+ months")))</f>
        <v/>
      </c>
      <c r="M216" s="26" t="n">
        <v>13500</v>
      </c>
    </row>
    <row r="217">
      <c r="A217" s="13" t="inlineStr">
        <is>
          <t>E3213</t>
        </is>
      </c>
      <c r="B217" s="12" t="inlineStr">
        <is>
          <t>Ntombizodwa Van Wyk</t>
        </is>
      </c>
      <c r="C217" s="13" t="inlineStr">
        <is>
          <t>Male</t>
        </is>
      </c>
      <c r="D217" s="12" t="inlineStr">
        <is>
          <t>Operations</t>
        </is>
      </c>
      <c r="E217" s="12" t="inlineStr">
        <is>
          <t>Shoprite Surveys</t>
        </is>
      </c>
      <c r="F217" s="12" t="inlineStr">
        <is>
          <t>Pretoria</t>
        </is>
      </c>
      <c r="G217" s="21" t="n">
        <v>45654</v>
      </c>
      <c r="H217" s="13" t="inlineStr">
        <is>
          <t>Active</t>
        </is>
      </c>
      <c r="I217" s="13" t="inlineStr"/>
      <c r="J217" s="13" t="n">
        <v>37</v>
      </c>
      <c r="K217" s="22">
        <f>IF(H217="Resigned",(I217-G217),(TODAY()-G217))/30.437</f>
        <v/>
      </c>
      <c r="L217" s="12">
        <f>IF(K217&lt;3,"0-3 months",IF(K217&lt;6,"3-6 months",IF(K217&lt;12,"6-12 months","12+ months")))</f>
        <v/>
      </c>
      <c r="M217" s="23" t="n">
        <v>13500</v>
      </c>
    </row>
    <row r="218">
      <c r="A218" s="10" t="inlineStr">
        <is>
          <t>E3214</t>
        </is>
      </c>
      <c r="B218" s="9" t="inlineStr">
        <is>
          <t>Portia Dlamini</t>
        </is>
      </c>
      <c r="C218" s="10" t="inlineStr">
        <is>
          <t>Female</t>
        </is>
      </c>
      <c r="D218" s="9" t="inlineStr">
        <is>
          <t>Team Leaders</t>
        </is>
      </c>
      <c r="E218" s="9" t="inlineStr">
        <is>
          <t>Takealot Care</t>
        </is>
      </c>
      <c r="F218" s="9" t="inlineStr">
        <is>
          <t>Johannesburg</t>
        </is>
      </c>
      <c r="G218" s="24" t="n">
        <v>45115</v>
      </c>
      <c r="H218" s="10" t="inlineStr">
        <is>
          <t>Active</t>
        </is>
      </c>
      <c r="I218" s="10" t="inlineStr"/>
      <c r="J218" s="10" t="n">
        <v>51</v>
      </c>
      <c r="K218" s="25">
        <f>IF(H218="Resigned",(I218-G218),(TODAY()-G218))/30.437</f>
        <v/>
      </c>
      <c r="L218" s="9">
        <f>IF(K218&lt;3,"0-3 months",IF(K218&lt;6,"3-6 months",IF(K218&lt;12,"6-12 months","12+ months")))</f>
        <v/>
      </c>
      <c r="M218" s="26" t="n">
        <v>18500</v>
      </c>
    </row>
    <row r="219">
      <c r="A219" s="13" t="inlineStr">
        <is>
          <t>E3215</t>
        </is>
      </c>
      <c r="B219" s="12" t="inlineStr">
        <is>
          <t>Anele Govender</t>
        </is>
      </c>
      <c r="C219" s="13" t="inlineStr">
        <is>
          <t>Female</t>
        </is>
      </c>
      <c r="D219" s="12" t="inlineStr">
        <is>
          <t>IT Support</t>
        </is>
      </c>
      <c r="E219" s="12" t="inlineStr">
        <is>
          <t>ABSA Collections</t>
        </is>
      </c>
      <c r="F219" s="12" t="inlineStr">
        <is>
          <t>Pretoria</t>
        </is>
      </c>
      <c r="G219" s="21" t="n">
        <v>46047</v>
      </c>
      <c r="H219" s="13" t="inlineStr">
        <is>
          <t>Active</t>
        </is>
      </c>
      <c r="I219" s="13" t="inlineStr"/>
      <c r="J219" s="13" t="n">
        <v>52</v>
      </c>
      <c r="K219" s="22">
        <f>IF(H219="Resigned",(I219-G219),(TODAY()-G219))/30.437</f>
        <v/>
      </c>
      <c r="L219" s="12">
        <f>IF(K219&lt;3,"0-3 months",IF(K219&lt;6,"3-6 months",IF(K219&lt;12,"6-12 months","12+ months")))</f>
        <v/>
      </c>
      <c r="M219" s="23" t="n">
        <v>13500</v>
      </c>
    </row>
    <row r="220">
      <c r="A220" s="10" t="inlineStr">
        <is>
          <t>E3216</t>
        </is>
      </c>
      <c r="B220" s="9" t="inlineStr">
        <is>
          <t>Onalenna Mahlangu</t>
        </is>
      </c>
      <c r="C220" s="10" t="inlineStr">
        <is>
          <t>Male</t>
        </is>
      </c>
      <c r="D220" s="9" t="inlineStr">
        <is>
          <t>Quality</t>
        </is>
      </c>
      <c r="E220" s="9" t="inlineStr">
        <is>
          <t>Standard Bank Helpdesk</t>
        </is>
      </c>
      <c r="F220" s="9" t="inlineStr">
        <is>
          <t>Port Elizabeth</t>
        </is>
      </c>
      <c r="G220" s="24" t="n">
        <v>45704</v>
      </c>
      <c r="H220" s="10" t="inlineStr">
        <is>
          <t>Active</t>
        </is>
      </c>
      <c r="I220" s="10" t="inlineStr"/>
      <c r="J220" s="10" t="n">
        <v>19</v>
      </c>
      <c r="K220" s="25">
        <f>IF(H220="Resigned",(I220-G220),(TODAY()-G220))/30.437</f>
        <v/>
      </c>
      <c r="L220" s="9">
        <f>IF(K220&lt;3,"0-3 months",IF(K220&lt;6,"3-6 months",IF(K220&lt;12,"6-12 months","12+ months")))</f>
        <v/>
      </c>
      <c r="M220" s="26" t="n">
        <v>39000</v>
      </c>
    </row>
    <row r="221">
      <c r="A221" s="13" t="inlineStr">
        <is>
          <t>E3217</t>
        </is>
      </c>
      <c r="B221" s="12" t="inlineStr">
        <is>
          <t>Palesa Naidoo</t>
        </is>
      </c>
      <c r="C221" s="13" t="inlineStr">
        <is>
          <t>Male</t>
        </is>
      </c>
      <c r="D221" s="12" t="inlineStr">
        <is>
          <t>Training</t>
        </is>
      </c>
      <c r="E221" s="12" t="inlineStr">
        <is>
          <t>Vodacom Upgrades</t>
        </is>
      </c>
      <c r="F221" s="12" t="inlineStr">
        <is>
          <t>Durban</t>
        </is>
      </c>
      <c r="G221" s="21" t="n">
        <v>45797</v>
      </c>
      <c r="H221" s="13" t="inlineStr">
        <is>
          <t>Active</t>
        </is>
      </c>
      <c r="I221" s="13" t="inlineStr"/>
      <c r="J221" s="13" t="n">
        <v>40</v>
      </c>
      <c r="K221" s="22">
        <f>IF(H221="Resigned",(I221-G221),(TODAY()-G221))/30.437</f>
        <v/>
      </c>
      <c r="L221" s="12">
        <f>IF(K221&lt;3,"0-3 months",IF(K221&lt;6,"3-6 months",IF(K221&lt;12,"6-12 months","12+ months")))</f>
        <v/>
      </c>
      <c r="M221" s="23" t="n">
        <v>39000</v>
      </c>
    </row>
    <row r="222">
      <c r="A222" s="10" t="inlineStr">
        <is>
          <t>E3218</t>
        </is>
      </c>
      <c r="B222" s="9" t="inlineStr">
        <is>
          <t>Boitumelo Naidoo</t>
        </is>
      </c>
      <c r="C222" s="10" t="inlineStr">
        <is>
          <t>Male</t>
        </is>
      </c>
      <c r="D222" s="9" t="inlineStr">
        <is>
          <t>Quality</t>
        </is>
      </c>
      <c r="E222" s="9" t="inlineStr">
        <is>
          <t>Telkom Tech Support</t>
        </is>
      </c>
      <c r="F222" s="9" t="inlineStr">
        <is>
          <t>Port Elizabeth</t>
        </is>
      </c>
      <c r="G222" s="24" t="n">
        <v>46010</v>
      </c>
      <c r="H222" s="10" t="inlineStr">
        <is>
          <t>Active</t>
        </is>
      </c>
      <c r="I222" s="10" t="inlineStr"/>
      <c r="J222" s="10" t="n">
        <v>48</v>
      </c>
      <c r="K222" s="25">
        <f>IF(H222="Resigned",(I222-G222),(TODAY()-G222))/30.437</f>
        <v/>
      </c>
      <c r="L222" s="9">
        <f>IF(K222&lt;3,"0-3 months",IF(K222&lt;6,"3-6 months",IF(K222&lt;12,"6-12 months","12+ months")))</f>
        <v/>
      </c>
      <c r="M222" s="26" t="n">
        <v>39000</v>
      </c>
    </row>
    <row r="223">
      <c r="A223" s="13" t="inlineStr">
        <is>
          <t>E3219</t>
        </is>
      </c>
      <c r="B223" s="12" t="inlineStr">
        <is>
          <t>Lwazi Van Wyk</t>
        </is>
      </c>
      <c r="C223" s="13" t="inlineStr">
        <is>
          <t>Male</t>
        </is>
      </c>
      <c r="D223" s="12" t="inlineStr">
        <is>
          <t>Quality</t>
        </is>
      </c>
      <c r="E223" s="12" t="inlineStr">
        <is>
          <t>OUTsurance Sales</t>
        </is>
      </c>
      <c r="F223" s="12" t="inlineStr">
        <is>
          <t>Johannesburg</t>
        </is>
      </c>
      <c r="G223" s="21" t="n">
        <v>45270</v>
      </c>
      <c r="H223" s="13" t="inlineStr">
        <is>
          <t>Resigned</t>
        </is>
      </c>
      <c r="I223" s="21" t="n">
        <v>46041</v>
      </c>
      <c r="J223" s="13" t="n">
        <v>25</v>
      </c>
      <c r="K223" s="22">
        <f>IF(H223="Resigned",(I223-G223),(TODAY()-G223))/30.437</f>
        <v/>
      </c>
      <c r="L223" s="12">
        <f>IF(K223&lt;3,"0-3 months",IF(K223&lt;6,"3-6 months",IF(K223&lt;12,"6-12 months","12+ months")))</f>
        <v/>
      </c>
      <c r="M223" s="23" t="n">
        <v>33000</v>
      </c>
    </row>
    <row r="224">
      <c r="A224" s="10" t="inlineStr">
        <is>
          <t>E3220</t>
        </is>
      </c>
      <c r="B224" s="9" t="inlineStr">
        <is>
          <t>Refilwe Govender</t>
        </is>
      </c>
      <c r="C224" s="10" t="inlineStr">
        <is>
          <t>Male</t>
        </is>
      </c>
      <c r="D224" s="9" t="inlineStr">
        <is>
          <t>IT Support</t>
        </is>
      </c>
      <c r="E224" s="9" t="inlineStr">
        <is>
          <t>Telkom Tech Support</t>
        </is>
      </c>
      <c r="F224" s="9" t="inlineStr">
        <is>
          <t>Pretoria</t>
        </is>
      </c>
      <c r="G224" s="24" t="n">
        <v>45332</v>
      </c>
      <c r="H224" s="10" t="inlineStr">
        <is>
          <t>Active</t>
        </is>
      </c>
      <c r="I224" s="10" t="inlineStr"/>
      <c r="J224" s="10" t="n">
        <v>36</v>
      </c>
      <c r="K224" s="25">
        <f>IF(H224="Resigned",(I224-G224),(TODAY()-G224))/30.437</f>
        <v/>
      </c>
      <c r="L224" s="9">
        <f>IF(K224&lt;3,"0-3 months",IF(K224&lt;6,"3-6 months",IF(K224&lt;12,"6-12 months","12+ months")))</f>
        <v/>
      </c>
      <c r="M224" s="26" t="n">
        <v>28000</v>
      </c>
    </row>
  </sheetData>
  <mergeCells count="2">
    <mergeCell ref="A2:M2"/>
    <mergeCell ref="A1:M1"/>
  </mergeCells>
  <conditionalFormatting sqref="H5:H224">
    <cfRule type="cellIs" priority="1" operator="equal" dxfId="0">
      <formula>"Resigned"</formula>
    </cfRule>
    <cfRule type="cellIs" priority="2" operator="equal" dxfId="1">
      <formula>"Active"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2026-08-08T23:38:54Z</dcterms:created>
  <dcterms:modified xmlns:dcterms="http://purl.org/dc/terms/" xmlns:xsi="http://www.w3.org/2001/XMLSchema-instance" xsi:type="dcterms:W3CDTF">2026-08-08T23:38:54Z</dcterms:modified>
</cp:coreProperties>
</file>